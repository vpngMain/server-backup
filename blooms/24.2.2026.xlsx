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5a9ac2dc34db9aa/Desktop/blooms/"/>
    </mc:Choice>
  </mc:AlternateContent>
  <xr:revisionPtr revIDLastSave="46" documentId="11_869E801EFC524DB70FB0787BEBFFDA04A0DEC5A9" xr6:coauthVersionLast="47" xr6:coauthVersionMax="47" xr10:uidLastSave="{06CA2E49-6EEC-492B-8E9D-B93C9268D794}"/>
  <bookViews>
    <workbookView xWindow="-120" yWindow="-120" windowWidth="29040" windowHeight="15720" xr2:uid="{00000000-000D-0000-FFFF-FFFF00000000}"/>
  </bookViews>
  <sheets>
    <sheet name="Order Confir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R2cWlCaQGnvADmYq1mb9/KnWBPzJOgPeMLv0eG8zHk="/>
    </ext>
  </extLst>
</workbook>
</file>

<file path=xl/calcChain.xml><?xml version="1.0" encoding="utf-8"?>
<calcChain xmlns="http://schemas.openxmlformats.org/spreadsheetml/2006/main">
  <c r="U2" i="1" l="1"/>
  <c r="P2" i="1"/>
  <c r="N2" i="1"/>
  <c r="U53" i="1"/>
  <c r="R53" i="1"/>
  <c r="P53" i="1"/>
  <c r="N53" i="1"/>
  <c r="O53" i="1" s="1"/>
  <c r="U52" i="1"/>
  <c r="R52" i="1"/>
  <c r="N52" i="1"/>
  <c r="O52" i="1" s="1"/>
  <c r="U51" i="1"/>
  <c r="R51" i="1"/>
  <c r="N51" i="1"/>
  <c r="P51" i="1" s="1"/>
  <c r="U50" i="1"/>
  <c r="R50" i="1"/>
  <c r="P50" i="1"/>
  <c r="O50" i="1"/>
  <c r="N50" i="1"/>
  <c r="U49" i="1"/>
  <c r="R49" i="1"/>
  <c r="P49" i="1"/>
  <c r="N49" i="1"/>
  <c r="O49" i="1" s="1"/>
  <c r="U48" i="1"/>
  <c r="R48" i="1"/>
  <c r="N48" i="1"/>
  <c r="O48" i="1" s="1"/>
  <c r="U47" i="1"/>
  <c r="R47" i="1"/>
  <c r="N47" i="1"/>
  <c r="P47" i="1" s="1"/>
  <c r="U46" i="1"/>
  <c r="R46" i="1"/>
  <c r="P46" i="1"/>
  <c r="O46" i="1"/>
  <c r="N46" i="1"/>
  <c r="U45" i="1"/>
  <c r="Q45" i="1"/>
  <c r="R45" i="1" s="1"/>
  <c r="N45" i="1"/>
  <c r="O45" i="1" s="1"/>
  <c r="U44" i="1"/>
  <c r="R44" i="1"/>
  <c r="N44" i="1"/>
  <c r="P44" i="1" s="1"/>
  <c r="U43" i="1"/>
  <c r="R43" i="1"/>
  <c r="P43" i="1"/>
  <c r="O43" i="1"/>
  <c r="N43" i="1"/>
  <c r="U42" i="1"/>
  <c r="R42" i="1"/>
  <c r="P42" i="1"/>
  <c r="N42" i="1"/>
  <c r="O42" i="1" s="1"/>
  <c r="U41" i="1"/>
  <c r="R41" i="1"/>
  <c r="N41" i="1"/>
  <c r="O41" i="1" s="1"/>
  <c r="U40" i="1"/>
  <c r="R40" i="1"/>
  <c r="N40" i="1"/>
  <c r="P40" i="1" s="1"/>
  <c r="U39" i="1"/>
  <c r="R39" i="1"/>
  <c r="P39" i="1"/>
  <c r="O39" i="1"/>
  <c r="N39" i="1"/>
  <c r="U38" i="1"/>
  <c r="R38" i="1"/>
  <c r="P38" i="1"/>
  <c r="N38" i="1"/>
  <c r="O38" i="1" s="1"/>
  <c r="U37" i="1"/>
  <c r="R37" i="1"/>
  <c r="N37" i="1"/>
  <c r="O37" i="1" s="1"/>
  <c r="U36" i="1"/>
  <c r="R36" i="1"/>
  <c r="N36" i="1"/>
  <c r="P36" i="1" s="1"/>
  <c r="U35" i="1"/>
  <c r="R35" i="1"/>
  <c r="P35" i="1"/>
  <c r="O35" i="1"/>
  <c r="N35" i="1"/>
  <c r="U34" i="1"/>
  <c r="R34" i="1"/>
  <c r="P34" i="1"/>
  <c r="N34" i="1"/>
  <c r="O34" i="1" s="1"/>
  <c r="U33" i="1"/>
  <c r="N33" i="1"/>
  <c r="P33" i="1" s="1"/>
  <c r="U32" i="1"/>
  <c r="R32" i="1"/>
  <c r="P32" i="1"/>
  <c r="O32" i="1"/>
  <c r="N32" i="1"/>
  <c r="U31" i="1"/>
  <c r="R31" i="1"/>
  <c r="P31" i="1"/>
  <c r="N31" i="1"/>
  <c r="O31" i="1" s="1"/>
  <c r="U30" i="1"/>
  <c r="R30" i="1"/>
  <c r="N30" i="1"/>
  <c r="O30" i="1" s="1"/>
  <c r="U29" i="1"/>
  <c r="R29" i="1"/>
  <c r="N29" i="1"/>
  <c r="P29" i="1" s="1"/>
  <c r="U28" i="1"/>
  <c r="R28" i="1"/>
  <c r="P28" i="1"/>
  <c r="O28" i="1"/>
  <c r="N28" i="1"/>
  <c r="U27" i="1"/>
  <c r="R27" i="1"/>
  <c r="P27" i="1"/>
  <c r="N27" i="1"/>
  <c r="O27" i="1" s="1"/>
  <c r="U26" i="1"/>
  <c r="R26" i="1"/>
  <c r="N26" i="1"/>
  <c r="O26" i="1" s="1"/>
  <c r="U25" i="1"/>
  <c r="R25" i="1"/>
  <c r="N25" i="1"/>
  <c r="P25" i="1" s="1"/>
  <c r="U24" i="1"/>
  <c r="R24" i="1"/>
  <c r="P24" i="1"/>
  <c r="O24" i="1"/>
  <c r="N24" i="1"/>
  <c r="U23" i="1"/>
  <c r="R23" i="1"/>
  <c r="P23" i="1"/>
  <c r="O23" i="1"/>
  <c r="U22" i="1"/>
  <c r="R22" i="1"/>
  <c r="P22" i="1"/>
  <c r="N22" i="1"/>
  <c r="O22" i="1" s="1"/>
  <c r="U21" i="1"/>
  <c r="R21" i="1"/>
  <c r="N21" i="1"/>
  <c r="O21" i="1" s="1"/>
  <c r="U20" i="1"/>
  <c r="R20" i="1"/>
  <c r="N20" i="1"/>
  <c r="P20" i="1" s="1"/>
  <c r="U19" i="1"/>
  <c r="R19" i="1"/>
  <c r="P19" i="1"/>
  <c r="O19" i="1"/>
  <c r="N19" i="1"/>
  <c r="U18" i="1"/>
  <c r="R18" i="1"/>
  <c r="P18" i="1"/>
  <c r="N18" i="1"/>
  <c r="O18" i="1" s="1"/>
  <c r="U17" i="1"/>
  <c r="R17" i="1"/>
  <c r="N17" i="1"/>
  <c r="O17" i="1" s="1"/>
  <c r="U16" i="1"/>
  <c r="R16" i="1"/>
  <c r="N16" i="1"/>
  <c r="P16" i="1" s="1"/>
  <c r="U15" i="1"/>
  <c r="R15" i="1"/>
  <c r="P15" i="1"/>
  <c r="O15" i="1"/>
  <c r="N15" i="1"/>
  <c r="U14" i="1"/>
  <c r="R14" i="1"/>
  <c r="P14" i="1"/>
  <c r="N14" i="1"/>
  <c r="O14" i="1" s="1"/>
  <c r="U13" i="1"/>
  <c r="R13" i="1"/>
  <c r="N13" i="1"/>
  <c r="O13" i="1" s="1"/>
  <c r="U12" i="1"/>
  <c r="R12" i="1"/>
  <c r="N12" i="1"/>
  <c r="P12" i="1" s="1"/>
  <c r="U11" i="1"/>
  <c r="R11" i="1"/>
  <c r="P11" i="1"/>
  <c r="O11" i="1"/>
  <c r="N11" i="1"/>
  <c r="U10" i="1"/>
  <c r="R10" i="1"/>
  <c r="P10" i="1"/>
  <c r="N10" i="1"/>
  <c r="O10" i="1" s="1"/>
  <c r="U9" i="1"/>
  <c r="R9" i="1"/>
  <c r="N9" i="1"/>
  <c r="O9" i="1" s="1"/>
  <c r="U8" i="1"/>
  <c r="R8" i="1"/>
  <c r="N8" i="1"/>
  <c r="P8" i="1" s="1"/>
  <c r="U7" i="1"/>
  <c r="R7" i="1"/>
  <c r="P7" i="1"/>
  <c r="O7" i="1"/>
  <c r="N7" i="1"/>
  <c r="U6" i="1"/>
  <c r="R6" i="1"/>
  <c r="P6" i="1"/>
  <c r="N6" i="1"/>
  <c r="O6" i="1" s="1"/>
  <c r="U5" i="1"/>
  <c r="R5" i="1"/>
  <c r="N5" i="1"/>
  <c r="O5" i="1" s="1"/>
  <c r="U4" i="1"/>
  <c r="R4" i="1"/>
  <c r="N4" i="1"/>
  <c r="P4" i="1" s="1"/>
  <c r="U3" i="1"/>
  <c r="R3" i="1"/>
  <c r="P3" i="1"/>
  <c r="O3" i="1"/>
  <c r="N3" i="1"/>
  <c r="R2" i="1"/>
  <c r="O2" i="1"/>
  <c r="O8" i="1" l="1"/>
  <c r="O16" i="1"/>
  <c r="O20" i="1"/>
  <c r="O25" i="1"/>
  <c r="O29" i="1"/>
  <c r="O33" i="1"/>
  <c r="O40" i="1"/>
  <c r="P5" i="1"/>
  <c r="P9" i="1"/>
  <c r="P13" i="1"/>
  <c r="P17" i="1"/>
  <c r="P21" i="1"/>
  <c r="P26" i="1"/>
  <c r="P30" i="1"/>
  <c r="Q33" i="1"/>
  <c r="R33" i="1" s="1"/>
  <c r="P37" i="1"/>
  <c r="P41" i="1"/>
  <c r="P45" i="1"/>
  <c r="P48" i="1"/>
  <c r="P52" i="1"/>
  <c r="O4" i="1"/>
  <c r="O12" i="1"/>
  <c r="O36" i="1"/>
  <c r="O44" i="1"/>
  <c r="O47" i="1"/>
  <c r="O51" i="1"/>
</calcChain>
</file>

<file path=xl/sharedStrings.xml><?xml version="1.0" encoding="utf-8"?>
<sst xmlns="http://schemas.openxmlformats.org/spreadsheetml/2006/main" count="254" uniqueCount="181">
  <si>
    <t>Description</t>
  </si>
  <si>
    <t>Description 2</t>
  </si>
  <si>
    <t>Pot-Size</t>
  </si>
  <si>
    <t>Qty.</t>
  </si>
  <si>
    <t>Per Unit</t>
  </si>
  <si>
    <t>Sales Price</t>
  </si>
  <si>
    <t>Amount</t>
  </si>
  <si>
    <t>EAN Code</t>
  </si>
  <si>
    <t>DE-NW-1501060</t>
  </si>
  <si>
    <t>https://mediaportal.azurewebsites.net/photos/39299d60-59f8-4560-bb89-2e3e65569f2c.jpg</t>
  </si>
  <si>
    <t>nakup s dopravou</t>
  </si>
  <si>
    <t>Cena EUR</t>
  </si>
  <si>
    <t>Cena CZK VIP</t>
  </si>
  <si>
    <t>Cena CZK</t>
  </si>
  <si>
    <t>Obchod</t>
  </si>
  <si>
    <t>ANEMONE HUPHENSIS</t>
  </si>
  <si>
    <t>GEMISCHT</t>
  </si>
  <si>
    <t>4011261126305</t>
  </si>
  <si>
    <t>VBN Code</t>
  </si>
  <si>
    <t>Plant Passport No.</t>
  </si>
  <si>
    <t>Customer Line Info</t>
  </si>
  <si>
    <t>Image Reference</t>
  </si>
  <si>
    <t>ARABIS</t>
  </si>
  <si>
    <t>MIX MIT BE</t>
  </si>
  <si>
    <t>4011261019669</t>
  </si>
  <si>
    <t>https://beeldbankfotos.royalfloraholland.com/foto/volledig/AMX6PRY0YF0YPDXMHZJ8XQ5IR</t>
  </si>
  <si>
    <t>AUBRIETA</t>
  </si>
  <si>
    <t>BLUE SHADES MIT BE</t>
  </si>
  <si>
    <t>https://beeldbankfotos.royalfloraholland.com/foto/volledig/ABSGRLO4CFVKZMKFRMLIG4W10</t>
  </si>
  <si>
    <t>BELLIS PERENNIS</t>
  </si>
  <si>
    <t>MIX ETWAS MEHR ROT</t>
  </si>
  <si>
    <t>4011261031036</t>
  </si>
  <si>
    <t>https://beeldbankfotos.royalfloraholland.com/foto/volledig/EUDR0RM4VG70MBZAT4LNE3CHJ</t>
  </si>
  <si>
    <t>WEIß</t>
  </si>
  <si>
    <t>4011261010239</t>
  </si>
  <si>
    <t>ROT</t>
  </si>
  <si>
    <t>https://beeldbankfotos.royalfloraholland.com/foto/volledig/VOYT6S0PE81DRLICTGIOWOGQ</t>
  </si>
  <si>
    <t>ROSA</t>
  </si>
  <si>
    <t>https://beeldbankfotos.royalfloraholland.com/foto/volledig/BZAEQKGHXMLLVAJF659X9LJ1X</t>
  </si>
  <si>
    <t>https://beeldbankfotos.royalfloraholland.com/foto/volledig/BDAGXGKYJZ5XNMJJHAPJJROD1</t>
  </si>
  <si>
    <t>CORTADERIA SELLOANA</t>
  </si>
  <si>
    <t>4011261164703</t>
  </si>
  <si>
    <t>DE-NW-1101943</t>
  </si>
  <si>
    <t>https://mediaportal.azurewebsites.net/photos/86de71a7-5ecc-45b4-a169-a85ab994c9fb.jpg</t>
  </si>
  <si>
    <t>WEISS</t>
  </si>
  <si>
    <t>4011261164697</t>
  </si>
  <si>
    <t>DE-NW-1101888</t>
  </si>
  <si>
    <t>https://mediaportal.azurewebsites.net/photos/2418456a-06b8-4619-aa31-75acdbf37066.jpg</t>
  </si>
  <si>
    <t xml:space="preserve">CORTADERIA SELLOANA </t>
  </si>
  <si>
    <t>4011261094048</t>
  </si>
  <si>
    <t>https://mediaportal.azurewebsites.net/photos/be791da1-4c08-46ed-bf50-034be848bc76.jpg</t>
  </si>
  <si>
    <t>https://mediaportal.azurewebsites.net/photos/50aeeaa8-77fe-4254-99d6-e324ea3452ba.jpg</t>
  </si>
  <si>
    <t>DIANTHUS DIANTICA</t>
  </si>
  <si>
    <t>I LOVE YOU</t>
  </si>
  <si>
    <t>4011261024694</t>
  </si>
  <si>
    <t>DE-NW-1103010</t>
  </si>
  <si>
    <t>https://mediaportal.azurewebsites.net/photos/ee39f499-9f2d-4ff3-a038-37ffa54b8741.jpg</t>
  </si>
  <si>
    <t>OSCAR MIX</t>
  </si>
  <si>
    <t>https://beeldbankfotos.royalfloraholland.com/foto/volledig/A0FHGQN5JS31Q68U9KN7K3VZO</t>
  </si>
  <si>
    <t>HEBE GEMISCHT</t>
  </si>
  <si>
    <t>MIX IN SORTEN</t>
  </si>
  <si>
    <t>4011261058170</t>
  </si>
  <si>
    <t>HEBE MAGICOLOR</t>
  </si>
  <si>
    <t>4011261217867</t>
  </si>
  <si>
    <t>DE-NW-1200814</t>
  </si>
  <si>
    <t>https://mediaportal.azurewebsites.net/photos/5a6e0496-15ed-4257-b2eb-63c9020ccf4c.jpg</t>
  </si>
  <si>
    <t>HELLEBORUS ORIENTALIS</t>
  </si>
  <si>
    <t>MIX</t>
  </si>
  <si>
    <t>4260270260467</t>
  </si>
  <si>
    <t>DE-NW-1101367</t>
  </si>
  <si>
    <t>https://mediaportal.azurewebsites.net/photos/5c862a91-6722-47de-8379-6c33886e65db.jpg</t>
  </si>
  <si>
    <t>VIV CATHARINA</t>
  </si>
  <si>
    <t>4260270260498</t>
  </si>
  <si>
    <t>https://mediaportal.azurewebsites.net/photos/ae1fb983-5b5f-44da-a055-e71a3a576174.jpg</t>
  </si>
  <si>
    <t>HELLEBORUS X ERICSMITHII</t>
  </si>
  <si>
    <t>PINK FROST</t>
  </si>
  <si>
    <t>4051451233901</t>
  </si>
  <si>
    <t>https://mediaportal.azurewebsites.net/photos/432e85f3-ee51-4dcc-a73a-66855b74023f.jpg</t>
  </si>
  <si>
    <t>HUTCHINSIA ALPINA</t>
  </si>
  <si>
    <t>MIT BE</t>
  </si>
  <si>
    <t>https://mediaportal.azurewebsites.net/photos/16f948a7-b566-4d56-abf9-1cf0dbf09018.jpg</t>
  </si>
  <si>
    <t>HYACINTHUS MISXTRAY</t>
  </si>
  <si>
    <t>HYACIN ORIENTAL GEM</t>
  </si>
  <si>
    <t>8717191016292</t>
  </si>
  <si>
    <t>https://mediaportal.azurewebsites.net/photos/2d681a40-910d-448d-977c-ee737a15950a.jpg</t>
  </si>
  <si>
    <t>HYACINTHUS MIXTRAY</t>
  </si>
  <si>
    <t>DE-NW-1501219</t>
  </si>
  <si>
    <t>https://mediaportal.azurewebsites.net/photos/a153a3b1-5071-4d64-8458-6f8bd38c9781.jpg</t>
  </si>
  <si>
    <t>DE-NW-1103184</t>
  </si>
  <si>
    <t>https://mediaportal.azurewebsites.net/photos/262546df-6d48-44bc-8d75-f0920c94fa8e.jpg</t>
  </si>
  <si>
    <t>IBERIS SEMPERVIRENS</t>
  </si>
  <si>
    <t>WHISTLER MIT BE</t>
  </si>
  <si>
    <t>https://mediaportal.azurewebsites.net/photos/88a6939c-25a0-486e-94db-e1a703fa3d49.jpg</t>
  </si>
  <si>
    <t>MÜHLENMIX</t>
  </si>
  <si>
    <t>TRIO MIX IN SORTEN</t>
  </si>
  <si>
    <t>4260249111912</t>
  </si>
  <si>
    <t>NL-792541413</t>
  </si>
  <si>
    <t>https://mediaportal.azurewebsites.net/photos/35d6731b-50a9-4222-89a1-9f90a05ac4b6.jpg</t>
  </si>
  <si>
    <t>MUSCARI BLUE MAGIC</t>
  </si>
  <si>
    <t>MUSCAR BLUE MAGIC</t>
  </si>
  <si>
    <t>8713626212505</t>
  </si>
  <si>
    <t>DE-NW-1200151</t>
  </si>
  <si>
    <t>https://mediaportal.azurewebsites.net/photos/192c24fe-ec87-4d72-a381-af43869151a1.jpg</t>
  </si>
  <si>
    <t>MUSCARI WHITE MAGIC</t>
  </si>
  <si>
    <t>MUSCAR WHITE MAGIC</t>
  </si>
  <si>
    <t>8717191017060</t>
  </si>
  <si>
    <t>https://mediaportal.azurewebsites.net/photos/2d985a82-f258-4304-a12f-b29af8b56480.jpg</t>
  </si>
  <si>
    <t>NARCISSUS  TETE TETE SCHALE</t>
  </si>
  <si>
    <t>NARC O TETE A TETE</t>
  </si>
  <si>
    <t>https://mediaportal.azurewebsites.net/photos/5da29a94-1276-4a4d-8c3e-0a666349a733.jpg</t>
  </si>
  <si>
    <t>NARCISSUS TÛTE-Ó-TÛTE</t>
  </si>
  <si>
    <t>8717191017237</t>
  </si>
  <si>
    <t>DE-NW-1101240</t>
  </si>
  <si>
    <t>https://mediaportal.azurewebsites.net/photos/286186db-697d-48fa-9455-8ce63b040765.jpg</t>
  </si>
  <si>
    <t>8717191017213</t>
  </si>
  <si>
    <t>https://mediaportal.azurewebsites.net/photos/c399a65e-0afa-4baa-95e4-9797114467db.jpg</t>
  </si>
  <si>
    <t>PHLOX SUBULATA</t>
  </si>
  <si>
    <t>MIX IN FARBEN</t>
  </si>
  <si>
    <t>4260733950171</t>
  </si>
  <si>
    <t>https://mediaportal.azurewebsites.net/photos/fb048e2d-b781-40d9-ac65-4670de523471.jpg</t>
  </si>
  <si>
    <t>PRIMULA BELLARINA</t>
  </si>
  <si>
    <t>BELARINA</t>
  </si>
  <si>
    <t>4250989653742</t>
  </si>
  <si>
    <t>https://mediaportal.azurewebsites.net/photos/9dabb629-aeaa-46e9-b862-9a2feb9de69e.jpg</t>
  </si>
  <si>
    <t>PRIMULA 10 PACK</t>
  </si>
  <si>
    <t>PRIM AC PARADISO GEM</t>
  </si>
  <si>
    <t>https://mediaportal.azurewebsites.net/photos/dbae09ec-3afd-41dc-a97d-e3386544d838.jpg</t>
  </si>
  <si>
    <t>PRIMULA ACAULIS</t>
  </si>
  <si>
    <t>4011261022492</t>
  </si>
  <si>
    <t>https://mediaportal.azurewebsites.net/photos/91a458e0-eda2-431e-8454-b042e1d3e5ce.jpg</t>
  </si>
  <si>
    <t>SACARINA MIX</t>
  </si>
  <si>
    <t>4280000495839</t>
  </si>
  <si>
    <t>DE-NW-1103011</t>
  </si>
  <si>
    <t>https://mediaportal.azurewebsites.net/photos/d8b98a13-7887-4287-86f4-dfebbfc157aa.jpg</t>
  </si>
  <si>
    <t>GIRLS DELIGHT</t>
  </si>
  <si>
    <t>4280000495242</t>
  </si>
  <si>
    <t>DE-NW-1101899</t>
  </si>
  <si>
    <t>https://mediaportal.azurewebsites.net/photos/6d29a164-2b6a-497a-8273-eece2ad01ca0.jpg</t>
  </si>
  <si>
    <t>RANUNCULUS ASIATICUS</t>
  </si>
  <si>
    <t>8717191035057</t>
  </si>
  <si>
    <t>https://mediaportal.azurewebsites.net/photos/41dd8c73-b2f6-4a30-816a-969ecade2d70.jpg</t>
  </si>
  <si>
    <t>RHODODENDRON SIMSII</t>
  </si>
  <si>
    <t>FRIEDHELM SCHERRER' Ø 25 CM</t>
  </si>
  <si>
    <t>https://mediaportal.azurewebsites.net/photos/080e426a-7b80-4957-9ab0-ef9bd519dd0b.jpg</t>
  </si>
  <si>
    <t>SAXIFRAGA</t>
  </si>
  <si>
    <t>DE-NW-1101866</t>
  </si>
  <si>
    <t>https://mediaportal.azurewebsites.net/photos/fe0e5280-33d2-435a-a1f9-7a572779280a.jpg</t>
  </si>
  <si>
    <t xml:space="preserve">SAXIFRAGA </t>
  </si>
  <si>
    <t>4011261013322</t>
  </si>
  <si>
    <t>https://mediaportal.azurewebsites.net/photos/ec44ad67-0462-4645-9670-35a546274f89.jpg</t>
  </si>
  <si>
    <t>DE-NW-1101217</t>
  </si>
  <si>
    <t>https://mediaportal.azurewebsites.net/photos/d30f99e5-5ad1-4e1d-8c56-f6780b64e43f.jpg</t>
  </si>
  <si>
    <t>DE-NW-1501230</t>
  </si>
  <si>
    <t>https://mediaportal.azurewebsites.net/photos/395cc1a6-b48f-4381-9d7f-b4a74f63355c.jpg</t>
  </si>
  <si>
    <t>SEDUM</t>
  </si>
  <si>
    <t>https://mediaportal.azurewebsites.net/photos/dd55fb3f-75a3-40b1-a600-1af22d901c26.jpg</t>
  </si>
  <si>
    <t>SEMPERVIVUM GEMISCHT</t>
  </si>
  <si>
    <t>https://mediaportal.azurewebsites.net/photos/2b15d891-ff49-4a42-9ec2-9983365412cb.jpg</t>
  </si>
  <si>
    <t>SPRING BREAK</t>
  </si>
  <si>
    <t>MIXBEPFLANZUNG IN SCHALEN</t>
  </si>
  <si>
    <t>4260244119999</t>
  </si>
  <si>
    <t>https://mediaportal.azurewebsites.net/photos/583dfb64-e54c-42fa-94f9-851fb70fc3f7.jpg</t>
  </si>
  <si>
    <t>TULIPA OVERIG</t>
  </si>
  <si>
    <t>'Columbus'</t>
  </si>
  <si>
    <t>4270000830709</t>
  </si>
  <si>
    <t>https://mediaportal.azurewebsites.net/photos/b5bc802a-752c-4db5-8970-8aa9f6855919.jpg</t>
  </si>
  <si>
    <t>VIOLA (CORNUTA GRP) MIXKAR</t>
  </si>
  <si>
    <t>VIO CO MIXK</t>
  </si>
  <si>
    <t>https://mediaportal.azurewebsites.net/photos/2c2cb25e-be6d-43d5-b8c1-1978895e3d69.jpg</t>
  </si>
  <si>
    <t>VIOLA (WITTROCKIANA GRP) DELTA MIXKAR</t>
  </si>
  <si>
    <t>VIO WI DELTA MIXK</t>
  </si>
  <si>
    <t>VIOLA CORNUTA</t>
  </si>
  <si>
    <t>4011261010222</t>
  </si>
  <si>
    <t>DE-NW-1101887</t>
  </si>
  <si>
    <t>https://mediaportal.azurewebsites.net/photos/74c55440-38d8-4ead-9a57-12e01049e323.jpg</t>
  </si>
  <si>
    <t>VIOLA F1 HYBRIDE</t>
  </si>
  <si>
    <t>4011261010215</t>
  </si>
  <si>
    <t>8900627574114</t>
  </si>
  <si>
    <t>8900627574122</t>
  </si>
  <si>
    <t>VIOLA F1 HYBRIDE FARBZEIGENDE KNOSPE</t>
  </si>
  <si>
    <t>8900627574106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</si>
</sst>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"/>
    <numFmt numFmtId="165" formatCode="#############"/>
  </numFmts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5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Y6" sqref="Y6:Y7"/>
    </sheetView>
  </sheetViews>
  <sheetFormatPr defaultColWidth="12.5703125" defaultRowHeight="15" customHeight="1" x14ac:dyDescent="0.2"/>
  <cols>
    <col min="1" max="1" width="23.7109375" customWidth="1"/>
    <col min="2" max="2" width="6" customWidth="1"/>
    <col min="3" max="3" width="8.28515625" bestFit="1" customWidth="1"/>
    <col min="4" max="4" width="5" bestFit="1" customWidth="1"/>
    <col min="5" max="5" width="8.85546875" customWidth="1"/>
    <col min="6" max="6" width="8.28515625" bestFit="1" customWidth="1"/>
    <col min="7" max="7" width="10.42578125" bestFit="1" customWidth="1"/>
    <col min="8" max="8" width="8.140625" bestFit="1" customWidth="1"/>
    <col min="9" max="9" width="14.140625" bestFit="1" customWidth="1"/>
    <col min="10" max="10" width="9.85546875" bestFit="1" customWidth="1"/>
    <col min="11" max="11" width="17.42578125" customWidth="1"/>
    <col min="12" max="12" width="0.42578125" customWidth="1"/>
    <col min="13" max="13" width="1.28515625" hidden="1" customWidth="1"/>
    <col min="14" max="14" width="16.7109375" bestFit="1" customWidth="1"/>
    <col min="15" max="15" width="6.5703125" bestFit="1" customWidth="1"/>
    <col min="16" max="16" width="5.5703125" bestFit="1" customWidth="1"/>
    <col min="17" max="17" width="9.42578125" bestFit="1" customWidth="1"/>
    <col min="18" max="18" width="12.5703125" bestFit="1" customWidth="1"/>
    <col min="19" max="19" width="9.140625" bestFit="1" customWidth="1"/>
    <col min="20" max="20" width="6.85546875" customWidth="1"/>
    <col min="21" max="21" width="4.5703125" bestFit="1" customWidth="1"/>
    <col min="22" max="26" width="7" customWidth="1"/>
  </cols>
  <sheetData>
    <row r="1" spans="1:26" ht="1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3">
        <v>363824</v>
      </c>
      <c r="K1" s="3" t="s">
        <v>8</v>
      </c>
      <c r="L1" s="3"/>
      <c r="M1" s="3" t="s">
        <v>9</v>
      </c>
      <c r="N1" s="3" t="s">
        <v>10</v>
      </c>
      <c r="O1" s="3"/>
      <c r="P1" s="3"/>
      <c r="Q1" s="4" t="s">
        <v>11</v>
      </c>
      <c r="R1" s="4" t="s">
        <v>12</v>
      </c>
      <c r="S1" s="4" t="s">
        <v>13</v>
      </c>
      <c r="T1" s="4" t="s">
        <v>14</v>
      </c>
      <c r="U1" s="5"/>
      <c r="V1" s="5"/>
      <c r="W1" s="5"/>
      <c r="X1" s="5"/>
      <c r="Y1" s="5"/>
      <c r="Z1" s="5"/>
    </row>
    <row r="2" spans="1:26" ht="15" customHeight="1" x14ac:dyDescent="0.25">
      <c r="A2" s="6" t="s">
        <v>15</v>
      </c>
      <c r="B2" s="6" t="s">
        <v>16</v>
      </c>
      <c r="C2" s="7">
        <v>12</v>
      </c>
      <c r="D2" s="7">
        <v>10</v>
      </c>
      <c r="E2" s="7">
        <v>240</v>
      </c>
      <c r="F2" s="7">
        <v>8</v>
      </c>
      <c r="G2" s="8">
        <v>1.44</v>
      </c>
      <c r="H2" s="8">
        <v>115.2</v>
      </c>
      <c r="I2" s="9" t="s">
        <v>17</v>
      </c>
      <c r="J2" s="10" t="s">
        <v>18</v>
      </c>
      <c r="K2" s="10" t="s">
        <v>19</v>
      </c>
      <c r="L2" s="10" t="s">
        <v>20</v>
      </c>
      <c r="M2" s="10" t="s">
        <v>21</v>
      </c>
      <c r="N2" s="11">
        <f>(72/E2)+G2</f>
        <v>1.74</v>
      </c>
      <c r="O2" s="11">
        <f t="shared" ref="O2:O53" si="0">N2*24.5*1.12*2</f>
        <v>95.491200000000021</v>
      </c>
      <c r="P2" s="11">
        <f>(100/E2)+N2</f>
        <v>2.1566666666666667</v>
      </c>
      <c r="Q2" s="11">
        <v>2.2000000000000002</v>
      </c>
      <c r="R2" s="11">
        <f t="shared" ref="R2:R53" si="1">Q2*25</f>
        <v>55.000000000000007</v>
      </c>
      <c r="S2" s="12">
        <v>60</v>
      </c>
      <c r="T2" s="12">
        <v>100</v>
      </c>
      <c r="U2" s="13">
        <f>((72/E2)+(G2*1.07))</f>
        <v>1.8408</v>
      </c>
    </row>
    <row r="3" spans="1:26" ht="15" customHeight="1" x14ac:dyDescent="0.25">
      <c r="A3" s="6" t="s">
        <v>22</v>
      </c>
      <c r="B3" s="6" t="s">
        <v>23</v>
      </c>
      <c r="C3" s="7">
        <v>11</v>
      </c>
      <c r="D3" s="7">
        <v>10</v>
      </c>
      <c r="E3" s="7">
        <v>500</v>
      </c>
      <c r="F3" s="7">
        <v>10</v>
      </c>
      <c r="G3" s="8">
        <v>0.74</v>
      </c>
      <c r="H3" s="8">
        <v>74</v>
      </c>
      <c r="I3" s="9" t="s">
        <v>24</v>
      </c>
      <c r="J3" s="9">
        <v>8504</v>
      </c>
      <c r="K3" s="9">
        <v>542411709</v>
      </c>
      <c r="L3" s="9"/>
      <c r="M3" s="9" t="s">
        <v>25</v>
      </c>
      <c r="N3" s="11">
        <f t="shared" ref="N3:N22" si="2">(72/E3)+G3</f>
        <v>0.88400000000000001</v>
      </c>
      <c r="O3" s="11">
        <f t="shared" si="0"/>
        <v>48.513920000000006</v>
      </c>
      <c r="P3" s="11">
        <f t="shared" ref="P3:P53" si="3">(100/E3)+N3</f>
        <v>1.0840000000000001</v>
      </c>
      <c r="Q3" s="11">
        <v>1.1000000000000001</v>
      </c>
      <c r="R3" s="11">
        <f t="shared" si="1"/>
        <v>27.500000000000004</v>
      </c>
      <c r="S3" s="12">
        <v>30</v>
      </c>
      <c r="T3" s="12">
        <v>55</v>
      </c>
      <c r="U3" s="13">
        <f t="shared" ref="U3:U53" si="4">((72/E3)+(G3*1.07))</f>
        <v>0.93580000000000008</v>
      </c>
    </row>
    <row r="4" spans="1:26" ht="15" customHeight="1" x14ac:dyDescent="0.25">
      <c r="A4" s="6" t="s">
        <v>26</v>
      </c>
      <c r="B4" s="6" t="s">
        <v>27</v>
      </c>
      <c r="C4" s="7">
        <v>11</v>
      </c>
      <c r="D4" s="7">
        <v>10</v>
      </c>
      <c r="E4" s="7">
        <v>500</v>
      </c>
      <c r="F4" s="7">
        <v>10</v>
      </c>
      <c r="G4" s="8">
        <v>0.74</v>
      </c>
      <c r="H4" s="8">
        <v>74</v>
      </c>
      <c r="I4" s="9" t="s">
        <v>24</v>
      </c>
      <c r="J4" s="9">
        <v>8504</v>
      </c>
      <c r="K4" s="9">
        <v>446938947</v>
      </c>
      <c r="L4" s="9"/>
      <c r="M4" s="9" t="s">
        <v>28</v>
      </c>
      <c r="N4" s="11">
        <f t="shared" si="2"/>
        <v>0.88400000000000001</v>
      </c>
      <c r="O4" s="11">
        <f t="shared" si="0"/>
        <v>48.513920000000006</v>
      </c>
      <c r="P4" s="11">
        <f t="shared" si="3"/>
        <v>1.0840000000000001</v>
      </c>
      <c r="Q4" s="11">
        <v>1.1000000000000001</v>
      </c>
      <c r="R4" s="11">
        <f t="shared" si="1"/>
        <v>27.500000000000004</v>
      </c>
      <c r="S4" s="12">
        <v>30</v>
      </c>
      <c r="T4" s="12">
        <v>55</v>
      </c>
      <c r="U4" s="13">
        <f t="shared" si="4"/>
        <v>0.93580000000000008</v>
      </c>
    </row>
    <row r="5" spans="1:26" ht="15" customHeight="1" x14ac:dyDescent="0.25">
      <c r="A5" s="6" t="s">
        <v>29</v>
      </c>
      <c r="B5" s="6" t="s">
        <v>30</v>
      </c>
      <c r="C5" s="7">
        <v>11</v>
      </c>
      <c r="D5" s="7">
        <v>10</v>
      </c>
      <c r="E5" s="7">
        <v>450</v>
      </c>
      <c r="F5" s="7">
        <v>10</v>
      </c>
      <c r="G5" s="8">
        <v>0.63</v>
      </c>
      <c r="H5" s="8">
        <v>63</v>
      </c>
      <c r="I5" s="9" t="s">
        <v>31</v>
      </c>
      <c r="J5" s="9">
        <v>8214</v>
      </c>
      <c r="K5" s="9">
        <v>446938947</v>
      </c>
      <c r="L5" s="9"/>
      <c r="M5" s="9" t="s">
        <v>32</v>
      </c>
      <c r="N5" s="11">
        <f t="shared" si="2"/>
        <v>0.79</v>
      </c>
      <c r="O5" s="11">
        <f t="shared" si="0"/>
        <v>43.355200000000004</v>
      </c>
      <c r="P5" s="11">
        <f t="shared" si="3"/>
        <v>1.0122222222222224</v>
      </c>
      <c r="Q5" s="11">
        <v>1</v>
      </c>
      <c r="R5" s="11">
        <f t="shared" si="1"/>
        <v>25</v>
      </c>
      <c r="S5" s="12">
        <v>25</v>
      </c>
      <c r="T5" s="12">
        <v>45</v>
      </c>
      <c r="U5" s="13">
        <f t="shared" si="4"/>
        <v>0.83410000000000006</v>
      </c>
    </row>
    <row r="6" spans="1:26" ht="15" customHeight="1" x14ac:dyDescent="0.25">
      <c r="A6" s="6" t="s">
        <v>29</v>
      </c>
      <c r="B6" s="6" t="s">
        <v>33</v>
      </c>
      <c r="C6" s="7">
        <v>9</v>
      </c>
      <c r="D6" s="7">
        <v>6</v>
      </c>
      <c r="E6" s="7">
        <v>648</v>
      </c>
      <c r="F6" s="7">
        <v>12</v>
      </c>
      <c r="G6" s="8">
        <v>0.46</v>
      </c>
      <c r="H6" s="8">
        <v>33.119999999999997</v>
      </c>
      <c r="I6" s="9" t="s">
        <v>34</v>
      </c>
      <c r="J6" s="9">
        <v>8214</v>
      </c>
      <c r="K6" s="9">
        <v>446938947</v>
      </c>
      <c r="L6" s="9"/>
      <c r="M6" s="9" t="s">
        <v>32</v>
      </c>
      <c r="N6" s="11">
        <f t="shared" si="2"/>
        <v>0.57111111111111112</v>
      </c>
      <c r="O6" s="11">
        <f t="shared" si="0"/>
        <v>31.34257777777778</v>
      </c>
      <c r="P6" s="11">
        <f t="shared" si="3"/>
        <v>0.72543209876543213</v>
      </c>
      <c r="Q6" s="11">
        <v>0.68</v>
      </c>
      <c r="R6" s="11">
        <f t="shared" si="1"/>
        <v>17</v>
      </c>
      <c r="S6" s="12">
        <v>25</v>
      </c>
      <c r="T6" s="12">
        <v>35</v>
      </c>
      <c r="U6" s="13">
        <f t="shared" si="4"/>
        <v>0.60331111111111113</v>
      </c>
    </row>
    <row r="7" spans="1:26" ht="15" customHeight="1" x14ac:dyDescent="0.25">
      <c r="A7" s="6" t="s">
        <v>29</v>
      </c>
      <c r="B7" s="6" t="s">
        <v>35</v>
      </c>
      <c r="C7" s="7">
        <v>9</v>
      </c>
      <c r="D7" s="7">
        <v>12</v>
      </c>
      <c r="E7" s="7">
        <v>648</v>
      </c>
      <c r="F7" s="7">
        <v>12</v>
      </c>
      <c r="G7" s="8">
        <v>0.46</v>
      </c>
      <c r="H7" s="8">
        <v>66.239999999999995</v>
      </c>
      <c r="I7" s="9" t="s">
        <v>34</v>
      </c>
      <c r="J7" s="9">
        <v>15195</v>
      </c>
      <c r="K7" s="9">
        <v>542411709</v>
      </c>
      <c r="L7" s="9"/>
      <c r="M7" s="9" t="s">
        <v>36</v>
      </c>
      <c r="N7" s="11">
        <f t="shared" si="2"/>
        <v>0.57111111111111112</v>
      </c>
      <c r="O7" s="11">
        <f t="shared" si="0"/>
        <v>31.34257777777778</v>
      </c>
      <c r="P7" s="11">
        <f t="shared" si="3"/>
        <v>0.72543209876543213</v>
      </c>
      <c r="Q7" s="11">
        <v>0.68</v>
      </c>
      <c r="R7" s="11">
        <f t="shared" si="1"/>
        <v>17</v>
      </c>
      <c r="S7" s="12">
        <v>17</v>
      </c>
      <c r="T7" s="12">
        <v>35</v>
      </c>
      <c r="U7" s="13">
        <f t="shared" si="4"/>
        <v>0.60331111111111113</v>
      </c>
    </row>
    <row r="8" spans="1:26" ht="15" customHeight="1" x14ac:dyDescent="0.25">
      <c r="A8" s="6" t="s">
        <v>29</v>
      </c>
      <c r="B8" s="6" t="s">
        <v>37</v>
      </c>
      <c r="C8" s="7">
        <v>9</v>
      </c>
      <c r="D8" s="7">
        <v>6</v>
      </c>
      <c r="E8" s="7">
        <v>648</v>
      </c>
      <c r="F8" s="7">
        <v>12</v>
      </c>
      <c r="G8" s="8">
        <v>0.46</v>
      </c>
      <c r="H8" s="8">
        <v>33.119999999999997</v>
      </c>
      <c r="I8" s="9" t="s">
        <v>34</v>
      </c>
      <c r="J8" s="9">
        <v>101920</v>
      </c>
      <c r="K8" s="9">
        <v>446938947</v>
      </c>
      <c r="L8" s="9"/>
      <c r="M8" s="9" t="s">
        <v>38</v>
      </c>
      <c r="N8" s="11">
        <f t="shared" si="2"/>
        <v>0.57111111111111112</v>
      </c>
      <c r="O8" s="11">
        <f t="shared" si="0"/>
        <v>31.34257777777778</v>
      </c>
      <c r="P8" s="11">
        <f t="shared" si="3"/>
        <v>0.72543209876543213</v>
      </c>
      <c r="Q8" s="11">
        <v>0.7</v>
      </c>
      <c r="R8" s="11">
        <f t="shared" si="1"/>
        <v>17.5</v>
      </c>
      <c r="S8" s="12">
        <v>17</v>
      </c>
      <c r="T8" s="12">
        <v>35</v>
      </c>
      <c r="U8" s="13">
        <f t="shared" si="4"/>
        <v>0.60331111111111113</v>
      </c>
    </row>
    <row r="9" spans="1:26" ht="15" customHeight="1" x14ac:dyDescent="0.25">
      <c r="A9" s="6" t="s">
        <v>29</v>
      </c>
      <c r="B9" s="6" t="s">
        <v>37</v>
      </c>
      <c r="C9" s="7">
        <v>9</v>
      </c>
      <c r="D9" s="7">
        <v>6</v>
      </c>
      <c r="E9" s="7">
        <v>648</v>
      </c>
      <c r="F9" s="7">
        <v>12</v>
      </c>
      <c r="G9" s="8">
        <v>0.46</v>
      </c>
      <c r="H9" s="8">
        <v>33.119999999999997</v>
      </c>
      <c r="I9" s="9" t="s">
        <v>34</v>
      </c>
      <c r="J9" s="9">
        <v>8504</v>
      </c>
      <c r="K9" s="9"/>
      <c r="L9" s="9"/>
      <c r="M9" s="9" t="s">
        <v>39</v>
      </c>
      <c r="N9" s="11">
        <f t="shared" si="2"/>
        <v>0.57111111111111112</v>
      </c>
      <c r="O9" s="11">
        <f t="shared" si="0"/>
        <v>31.34257777777778</v>
      </c>
      <c r="P9" s="11">
        <f t="shared" si="3"/>
        <v>0.72543209876543213</v>
      </c>
      <c r="Q9" s="11">
        <v>0.7</v>
      </c>
      <c r="R9" s="11">
        <f t="shared" si="1"/>
        <v>17.5</v>
      </c>
      <c r="S9" s="12">
        <v>17</v>
      </c>
      <c r="T9" s="12">
        <v>35</v>
      </c>
      <c r="U9" s="13">
        <f t="shared" si="4"/>
        <v>0.60331111111111113</v>
      </c>
    </row>
    <row r="10" spans="1:26" ht="15" customHeight="1" x14ac:dyDescent="0.25">
      <c r="A10" s="6" t="s">
        <v>40</v>
      </c>
      <c r="B10" s="6" t="s">
        <v>37</v>
      </c>
      <c r="C10" s="7">
        <v>11</v>
      </c>
      <c r="D10" s="7">
        <v>10</v>
      </c>
      <c r="E10" s="7">
        <v>250</v>
      </c>
      <c r="F10" s="7">
        <v>10</v>
      </c>
      <c r="G10" s="8">
        <v>1.78</v>
      </c>
      <c r="H10" s="8">
        <v>178</v>
      </c>
      <c r="I10" s="9" t="s">
        <v>41</v>
      </c>
      <c r="J10" s="9">
        <v>6675</v>
      </c>
      <c r="K10" s="9" t="s">
        <v>42</v>
      </c>
      <c r="L10" s="9"/>
      <c r="M10" s="9" t="s">
        <v>43</v>
      </c>
      <c r="N10" s="11">
        <f t="shared" si="2"/>
        <v>2.0680000000000001</v>
      </c>
      <c r="O10" s="11">
        <f t="shared" si="0"/>
        <v>113.49184000000002</v>
      </c>
      <c r="P10" s="11">
        <f t="shared" si="3"/>
        <v>2.468</v>
      </c>
      <c r="Q10" s="11">
        <v>2.7</v>
      </c>
      <c r="R10" s="11">
        <f t="shared" si="1"/>
        <v>67.5</v>
      </c>
      <c r="S10" s="12">
        <v>75</v>
      </c>
      <c r="T10" s="12">
        <v>150</v>
      </c>
      <c r="U10" s="13">
        <f t="shared" si="4"/>
        <v>2.1926000000000001</v>
      </c>
    </row>
    <row r="11" spans="1:26" ht="15" customHeight="1" x14ac:dyDescent="0.25">
      <c r="A11" s="6" t="s">
        <v>40</v>
      </c>
      <c r="B11" s="6" t="s">
        <v>44</v>
      </c>
      <c r="C11" s="7">
        <v>11</v>
      </c>
      <c r="D11" s="7">
        <v>5</v>
      </c>
      <c r="E11" s="7">
        <v>250</v>
      </c>
      <c r="F11" s="7">
        <v>10</v>
      </c>
      <c r="G11" s="8">
        <v>1.78</v>
      </c>
      <c r="H11" s="8">
        <v>89</v>
      </c>
      <c r="I11" s="9" t="s">
        <v>45</v>
      </c>
      <c r="J11" s="9">
        <v>8307</v>
      </c>
      <c r="K11" s="9" t="s">
        <v>46</v>
      </c>
      <c r="L11" s="9"/>
      <c r="M11" s="9" t="s">
        <v>47</v>
      </c>
      <c r="N11" s="11">
        <f t="shared" si="2"/>
        <v>2.0680000000000001</v>
      </c>
      <c r="O11" s="11">
        <f t="shared" si="0"/>
        <v>113.49184000000002</v>
      </c>
      <c r="P11" s="11">
        <f t="shared" si="3"/>
        <v>2.468</v>
      </c>
      <c r="Q11" s="11">
        <v>2.7</v>
      </c>
      <c r="R11" s="11">
        <f t="shared" si="1"/>
        <v>67.5</v>
      </c>
      <c r="S11" s="12">
        <v>75</v>
      </c>
      <c r="T11" s="12">
        <v>150</v>
      </c>
      <c r="U11" s="13">
        <f t="shared" si="4"/>
        <v>2.1926000000000001</v>
      </c>
    </row>
    <row r="12" spans="1:26" ht="15" customHeight="1" x14ac:dyDescent="0.25">
      <c r="A12" s="6" t="s">
        <v>48</v>
      </c>
      <c r="B12" s="6" t="s">
        <v>37</v>
      </c>
      <c r="C12" s="7">
        <v>18</v>
      </c>
      <c r="D12" s="7">
        <v>30</v>
      </c>
      <c r="E12" s="7">
        <v>120</v>
      </c>
      <c r="F12" s="7">
        <v>1</v>
      </c>
      <c r="G12" s="8">
        <v>3.29</v>
      </c>
      <c r="H12" s="8">
        <v>98.7</v>
      </c>
      <c r="I12" s="9" t="s">
        <v>49</v>
      </c>
      <c r="J12" s="9">
        <v>8307</v>
      </c>
      <c r="K12" s="9" t="s">
        <v>46</v>
      </c>
      <c r="L12" s="9"/>
      <c r="M12" s="9" t="s">
        <v>50</v>
      </c>
      <c r="N12" s="11">
        <f t="shared" si="2"/>
        <v>3.89</v>
      </c>
      <c r="O12" s="11">
        <f t="shared" si="0"/>
        <v>213.48320000000004</v>
      </c>
      <c r="P12" s="11">
        <f t="shared" si="3"/>
        <v>4.7233333333333336</v>
      </c>
      <c r="Q12" s="11">
        <v>5</v>
      </c>
      <c r="R12" s="11">
        <f t="shared" si="1"/>
        <v>125</v>
      </c>
      <c r="S12" s="12">
        <v>135</v>
      </c>
      <c r="T12" s="12">
        <v>220</v>
      </c>
      <c r="U12" s="13">
        <f t="shared" si="4"/>
        <v>4.1203000000000003</v>
      </c>
    </row>
    <row r="13" spans="1:26" ht="15" customHeight="1" x14ac:dyDescent="0.25">
      <c r="A13" s="6" t="s">
        <v>48</v>
      </c>
      <c r="B13" s="6" t="s">
        <v>44</v>
      </c>
      <c r="C13" s="7">
        <v>18</v>
      </c>
      <c r="D13" s="7">
        <v>30</v>
      </c>
      <c r="E13" s="7">
        <v>120</v>
      </c>
      <c r="F13" s="7">
        <v>1</v>
      </c>
      <c r="G13" s="8">
        <v>3.29</v>
      </c>
      <c r="H13" s="8">
        <v>98.7</v>
      </c>
      <c r="I13" s="9" t="s">
        <v>49</v>
      </c>
      <c r="J13" s="9">
        <v>43339</v>
      </c>
      <c r="K13" s="9" t="s">
        <v>8</v>
      </c>
      <c r="L13" s="9"/>
      <c r="M13" s="9" t="s">
        <v>51</v>
      </c>
      <c r="N13" s="11">
        <f t="shared" si="2"/>
        <v>3.89</v>
      </c>
      <c r="O13" s="11">
        <f t="shared" si="0"/>
        <v>213.48320000000004</v>
      </c>
      <c r="P13" s="11">
        <f t="shared" si="3"/>
        <v>4.7233333333333336</v>
      </c>
      <c r="Q13" s="11">
        <v>5</v>
      </c>
      <c r="R13" s="11">
        <f t="shared" si="1"/>
        <v>125</v>
      </c>
      <c r="S13" s="12">
        <v>135</v>
      </c>
      <c r="T13" s="12">
        <v>220</v>
      </c>
      <c r="U13" s="13">
        <f t="shared" si="4"/>
        <v>4.1203000000000003</v>
      </c>
    </row>
    <row r="14" spans="1:26" ht="15" customHeight="1" x14ac:dyDescent="0.25">
      <c r="A14" s="14" t="s">
        <v>52</v>
      </c>
      <c r="B14" s="14" t="s">
        <v>53</v>
      </c>
      <c r="C14" s="15">
        <v>11</v>
      </c>
      <c r="D14" s="15">
        <v>15</v>
      </c>
      <c r="E14" s="15">
        <v>450</v>
      </c>
      <c r="F14" s="15">
        <v>10</v>
      </c>
      <c r="G14" s="16">
        <v>1.0900000000000001</v>
      </c>
      <c r="H14" s="16">
        <v>163.5</v>
      </c>
      <c r="I14" s="17" t="s">
        <v>54</v>
      </c>
      <c r="J14" s="9">
        <v>110393</v>
      </c>
      <c r="K14" s="9" t="s">
        <v>55</v>
      </c>
      <c r="L14" s="9"/>
      <c r="M14" s="9" t="s">
        <v>56</v>
      </c>
      <c r="N14" s="11">
        <f t="shared" si="2"/>
        <v>1.25</v>
      </c>
      <c r="O14" s="11">
        <f t="shared" si="0"/>
        <v>68.600000000000009</v>
      </c>
      <c r="P14" s="11">
        <f t="shared" si="3"/>
        <v>1.4722222222222223</v>
      </c>
      <c r="Q14" s="11">
        <v>1.6</v>
      </c>
      <c r="R14" s="11">
        <f t="shared" si="1"/>
        <v>40</v>
      </c>
      <c r="S14" s="12">
        <v>40</v>
      </c>
      <c r="T14" s="12">
        <v>70</v>
      </c>
      <c r="U14" s="13">
        <f t="shared" si="4"/>
        <v>1.3263</v>
      </c>
    </row>
    <row r="15" spans="1:26" ht="15" customHeight="1" x14ac:dyDescent="0.25">
      <c r="A15" s="14" t="s">
        <v>52</v>
      </c>
      <c r="B15" s="14" t="s">
        <v>57</v>
      </c>
      <c r="C15" s="15">
        <v>11</v>
      </c>
      <c r="D15" s="15">
        <v>20</v>
      </c>
      <c r="E15" s="15">
        <v>400</v>
      </c>
      <c r="F15" s="15">
        <v>10</v>
      </c>
      <c r="G15" s="16">
        <v>0.98</v>
      </c>
      <c r="H15" s="16">
        <v>196</v>
      </c>
      <c r="I15" s="17" t="s">
        <v>54</v>
      </c>
      <c r="J15" s="9">
        <v>8214</v>
      </c>
      <c r="K15" s="9"/>
      <c r="L15" s="9"/>
      <c r="M15" s="9" t="s">
        <v>58</v>
      </c>
      <c r="N15" s="11">
        <f t="shared" si="2"/>
        <v>1.1599999999999999</v>
      </c>
      <c r="O15" s="11">
        <f t="shared" si="0"/>
        <v>63.660800000000002</v>
      </c>
      <c r="P15" s="11">
        <f t="shared" si="3"/>
        <v>1.41</v>
      </c>
      <c r="Q15" s="11">
        <v>1.5</v>
      </c>
      <c r="R15" s="11">
        <f t="shared" si="1"/>
        <v>37.5</v>
      </c>
      <c r="S15" s="12">
        <v>38</v>
      </c>
      <c r="T15" s="12">
        <v>65</v>
      </c>
      <c r="U15" s="13">
        <f t="shared" si="4"/>
        <v>1.2285999999999999</v>
      </c>
    </row>
    <row r="16" spans="1:26" ht="15" customHeight="1" x14ac:dyDescent="0.25">
      <c r="A16" s="6" t="s">
        <v>59</v>
      </c>
      <c r="B16" s="6" t="s">
        <v>60</v>
      </c>
      <c r="C16" s="7">
        <v>11</v>
      </c>
      <c r="D16" s="7">
        <v>10</v>
      </c>
      <c r="E16" s="7">
        <v>450</v>
      </c>
      <c r="F16" s="7">
        <v>10</v>
      </c>
      <c r="G16" s="8">
        <v>0.94</v>
      </c>
      <c r="H16" s="8">
        <v>94</v>
      </c>
      <c r="I16" s="9" t="s">
        <v>61</v>
      </c>
      <c r="J16" s="9">
        <v>8214</v>
      </c>
      <c r="K16" s="9"/>
      <c r="L16" s="9"/>
      <c r="M16" s="9" t="s">
        <v>58</v>
      </c>
      <c r="N16" s="11">
        <f t="shared" si="2"/>
        <v>1.0999999999999999</v>
      </c>
      <c r="O16" s="11">
        <f t="shared" si="0"/>
        <v>60.367999999999995</v>
      </c>
      <c r="P16" s="11">
        <f t="shared" si="3"/>
        <v>1.322222222222222</v>
      </c>
      <c r="Q16" s="11">
        <v>1.4</v>
      </c>
      <c r="R16" s="11">
        <f t="shared" si="1"/>
        <v>35</v>
      </c>
      <c r="S16" s="12">
        <v>35</v>
      </c>
      <c r="T16" s="12">
        <v>60</v>
      </c>
      <c r="U16" s="13">
        <f t="shared" si="4"/>
        <v>1.1657999999999999</v>
      </c>
    </row>
    <row r="17" spans="1:21" ht="15" customHeight="1" x14ac:dyDescent="0.25">
      <c r="A17" s="6" t="s">
        <v>62</v>
      </c>
      <c r="B17" s="6" t="s">
        <v>60</v>
      </c>
      <c r="C17" s="7">
        <v>11</v>
      </c>
      <c r="D17" s="7">
        <v>15</v>
      </c>
      <c r="E17" s="7">
        <v>400</v>
      </c>
      <c r="F17" s="7">
        <v>10</v>
      </c>
      <c r="G17" s="8">
        <v>1.31</v>
      </c>
      <c r="H17" s="8">
        <v>196.5</v>
      </c>
      <c r="I17" s="9" t="s">
        <v>63</v>
      </c>
      <c r="J17" s="9">
        <v>111877</v>
      </c>
      <c r="K17" s="9" t="s">
        <v>64</v>
      </c>
      <c r="L17" s="9"/>
      <c r="M17" s="9" t="s">
        <v>65</v>
      </c>
      <c r="N17" s="11">
        <f t="shared" si="2"/>
        <v>1.49</v>
      </c>
      <c r="O17" s="11">
        <f t="shared" si="0"/>
        <v>81.771200000000007</v>
      </c>
      <c r="P17" s="11">
        <f t="shared" si="3"/>
        <v>1.74</v>
      </c>
      <c r="Q17" s="11">
        <v>2</v>
      </c>
      <c r="R17" s="11">
        <f t="shared" si="1"/>
        <v>50</v>
      </c>
      <c r="S17" s="12">
        <v>60</v>
      </c>
      <c r="T17" s="12">
        <v>100</v>
      </c>
      <c r="U17" s="13">
        <f t="shared" si="4"/>
        <v>1.5817000000000001</v>
      </c>
    </row>
    <row r="18" spans="1:21" ht="15" customHeight="1" x14ac:dyDescent="0.25">
      <c r="A18" s="6" t="s">
        <v>66</v>
      </c>
      <c r="B18" s="6" t="s">
        <v>67</v>
      </c>
      <c r="C18" s="7">
        <v>19</v>
      </c>
      <c r="D18" s="7">
        <v>5</v>
      </c>
      <c r="E18" s="7">
        <v>60</v>
      </c>
      <c r="F18" s="7">
        <v>3</v>
      </c>
      <c r="G18" s="8">
        <v>7.3</v>
      </c>
      <c r="H18" s="8">
        <v>109.5</v>
      </c>
      <c r="I18" s="9" t="s">
        <v>68</v>
      </c>
      <c r="J18" s="9">
        <v>41898</v>
      </c>
      <c r="K18" s="9" t="s">
        <v>69</v>
      </c>
      <c r="L18" s="9"/>
      <c r="M18" s="9" t="s">
        <v>70</v>
      </c>
      <c r="N18" s="11">
        <f t="shared" si="2"/>
        <v>8.5</v>
      </c>
      <c r="O18" s="11">
        <f t="shared" si="0"/>
        <v>466.48</v>
      </c>
      <c r="P18" s="11">
        <f t="shared" si="3"/>
        <v>10.166666666666666</v>
      </c>
      <c r="Q18" s="11">
        <v>10.5</v>
      </c>
      <c r="R18" s="11">
        <f t="shared" si="1"/>
        <v>262.5</v>
      </c>
      <c r="S18" s="12">
        <v>280</v>
      </c>
      <c r="T18" s="12">
        <v>450</v>
      </c>
      <c r="U18" s="13">
        <f t="shared" si="4"/>
        <v>9.0109999999999992</v>
      </c>
    </row>
    <row r="19" spans="1:21" ht="15" customHeight="1" x14ac:dyDescent="0.25">
      <c r="A19" s="6" t="s">
        <v>66</v>
      </c>
      <c r="B19" s="6" t="s">
        <v>71</v>
      </c>
      <c r="C19" s="7">
        <v>19</v>
      </c>
      <c r="D19" s="7">
        <v>5</v>
      </c>
      <c r="E19" s="7">
        <v>60</v>
      </c>
      <c r="F19" s="7">
        <v>3</v>
      </c>
      <c r="G19" s="8">
        <v>7.3</v>
      </c>
      <c r="H19" s="8">
        <v>109.5</v>
      </c>
      <c r="I19" s="9" t="s">
        <v>72</v>
      </c>
      <c r="J19" s="9">
        <v>41893</v>
      </c>
      <c r="K19" s="9" t="s">
        <v>69</v>
      </c>
      <c r="L19" s="9"/>
      <c r="M19" s="9" t="s">
        <v>73</v>
      </c>
      <c r="N19" s="11">
        <f t="shared" si="2"/>
        <v>8.5</v>
      </c>
      <c r="O19" s="11">
        <f t="shared" si="0"/>
        <v>466.48</v>
      </c>
      <c r="P19" s="11">
        <f t="shared" si="3"/>
        <v>10.166666666666666</v>
      </c>
      <c r="Q19" s="11">
        <v>10.5</v>
      </c>
      <c r="R19" s="11">
        <f t="shared" si="1"/>
        <v>262.5</v>
      </c>
      <c r="S19" s="12">
        <v>280</v>
      </c>
      <c r="T19" s="12">
        <v>450</v>
      </c>
      <c r="U19" s="13">
        <f t="shared" si="4"/>
        <v>9.0109999999999992</v>
      </c>
    </row>
    <row r="20" spans="1:21" ht="15" customHeight="1" x14ac:dyDescent="0.25">
      <c r="A20" s="6" t="s">
        <v>74</v>
      </c>
      <c r="B20" s="6" t="s">
        <v>75</v>
      </c>
      <c r="C20" s="7">
        <v>19</v>
      </c>
      <c r="D20" s="7">
        <v>5</v>
      </c>
      <c r="E20" s="7">
        <v>60</v>
      </c>
      <c r="F20" s="7">
        <v>3</v>
      </c>
      <c r="G20" s="8">
        <v>7.99</v>
      </c>
      <c r="H20" s="8">
        <v>119.85</v>
      </c>
      <c r="I20" s="9" t="s">
        <v>76</v>
      </c>
      <c r="J20" s="9">
        <v>41893</v>
      </c>
      <c r="K20" s="9" t="s">
        <v>69</v>
      </c>
      <c r="L20" s="9"/>
      <c r="M20" s="9" t="s">
        <v>77</v>
      </c>
      <c r="N20" s="11">
        <f t="shared" si="2"/>
        <v>9.19</v>
      </c>
      <c r="O20" s="11">
        <f t="shared" si="0"/>
        <v>504.34720000000004</v>
      </c>
      <c r="P20" s="11">
        <f t="shared" si="3"/>
        <v>10.856666666666666</v>
      </c>
      <c r="Q20" s="11">
        <v>11</v>
      </c>
      <c r="R20" s="11">
        <f t="shared" si="1"/>
        <v>275</v>
      </c>
      <c r="S20" s="12">
        <v>300</v>
      </c>
      <c r="T20" s="12">
        <v>500</v>
      </c>
      <c r="U20" s="13">
        <f t="shared" si="4"/>
        <v>9.7492999999999999</v>
      </c>
    </row>
    <row r="21" spans="1:21" ht="15" customHeight="1" x14ac:dyDescent="0.25">
      <c r="A21" s="6" t="s">
        <v>78</v>
      </c>
      <c r="B21" s="6" t="s">
        <v>79</v>
      </c>
      <c r="C21" s="7">
        <v>11</v>
      </c>
      <c r="D21" s="7">
        <v>10</v>
      </c>
      <c r="E21" s="7">
        <v>500</v>
      </c>
      <c r="F21" s="7">
        <v>10</v>
      </c>
      <c r="G21" s="8">
        <v>0.74</v>
      </c>
      <c r="H21" s="8">
        <v>74</v>
      </c>
      <c r="I21" s="9" t="s">
        <v>24</v>
      </c>
      <c r="J21" s="9">
        <v>41893</v>
      </c>
      <c r="K21" s="9" t="s">
        <v>69</v>
      </c>
      <c r="L21" s="9"/>
      <c r="M21" s="9" t="s">
        <v>80</v>
      </c>
      <c r="N21" s="11">
        <f t="shared" si="2"/>
        <v>0.88400000000000001</v>
      </c>
      <c r="O21" s="11">
        <f t="shared" si="0"/>
        <v>48.513920000000006</v>
      </c>
      <c r="P21" s="11">
        <f t="shared" si="3"/>
        <v>1.0840000000000001</v>
      </c>
      <c r="Q21" s="11">
        <v>1.3</v>
      </c>
      <c r="R21" s="11">
        <f t="shared" si="1"/>
        <v>32.5</v>
      </c>
      <c r="S21" s="12">
        <v>35</v>
      </c>
      <c r="T21" s="12">
        <v>55</v>
      </c>
      <c r="U21" s="13">
        <f t="shared" si="4"/>
        <v>0.93580000000000008</v>
      </c>
    </row>
    <row r="22" spans="1:21" ht="15" customHeight="1" x14ac:dyDescent="0.25">
      <c r="A22" s="6" t="s">
        <v>81</v>
      </c>
      <c r="B22" s="6" t="s">
        <v>82</v>
      </c>
      <c r="C22" s="7">
        <v>12</v>
      </c>
      <c r="D22" s="7">
        <v>50</v>
      </c>
      <c r="E22" s="7">
        <v>500</v>
      </c>
      <c r="F22" s="7">
        <v>10</v>
      </c>
      <c r="G22" s="8">
        <v>0.74</v>
      </c>
      <c r="H22" s="8">
        <v>111</v>
      </c>
      <c r="I22" s="9" t="s">
        <v>83</v>
      </c>
      <c r="J22" s="9">
        <v>114331</v>
      </c>
      <c r="K22" s="9"/>
      <c r="L22" s="9"/>
      <c r="M22" s="9" t="s">
        <v>84</v>
      </c>
      <c r="N22" s="11">
        <f t="shared" si="2"/>
        <v>0.88400000000000001</v>
      </c>
      <c r="O22" s="11">
        <f t="shared" si="0"/>
        <v>48.513920000000006</v>
      </c>
      <c r="P22" s="11">
        <f t="shared" si="3"/>
        <v>1.0840000000000001</v>
      </c>
      <c r="Q22" s="11">
        <v>1.3</v>
      </c>
      <c r="R22" s="11">
        <f t="shared" si="1"/>
        <v>32.5</v>
      </c>
      <c r="S22" s="12">
        <v>35</v>
      </c>
      <c r="T22" s="12">
        <v>55</v>
      </c>
      <c r="U22" s="13">
        <f t="shared" si="4"/>
        <v>0.93580000000000008</v>
      </c>
    </row>
    <row r="23" spans="1:21" ht="15" customHeight="1" x14ac:dyDescent="0.25">
      <c r="A23" s="14" t="s">
        <v>85</v>
      </c>
      <c r="B23" s="6" t="s">
        <v>82</v>
      </c>
      <c r="C23" s="7">
        <v>7</v>
      </c>
      <c r="D23" s="7">
        <v>18</v>
      </c>
      <c r="E23" s="7">
        <v>1296</v>
      </c>
      <c r="F23" s="7">
        <v>24</v>
      </c>
      <c r="G23" s="8">
        <v>0.28999999999999998</v>
      </c>
      <c r="H23" s="8">
        <v>125.28</v>
      </c>
      <c r="I23" s="9"/>
      <c r="J23" s="9">
        <v>45424</v>
      </c>
      <c r="K23" s="9" t="s">
        <v>86</v>
      </c>
      <c r="L23" s="9"/>
      <c r="M23" s="9" t="s">
        <v>87</v>
      </c>
      <c r="N23" s="11">
        <v>0.35</v>
      </c>
      <c r="O23" s="11">
        <f t="shared" si="0"/>
        <v>19.208000000000002</v>
      </c>
      <c r="P23" s="11">
        <f t="shared" si="3"/>
        <v>0.42716049382716048</v>
      </c>
      <c r="Q23" s="11">
        <v>0.55000000000000004</v>
      </c>
      <c r="R23" s="11">
        <f t="shared" si="1"/>
        <v>13.750000000000002</v>
      </c>
      <c r="S23" s="12">
        <v>15</v>
      </c>
      <c r="T23" s="12">
        <v>25</v>
      </c>
      <c r="U23" s="13">
        <f t="shared" si="4"/>
        <v>0.3658555555555556</v>
      </c>
    </row>
    <row r="24" spans="1:21" ht="15" customHeight="1" x14ac:dyDescent="0.25">
      <c r="A24" s="14" t="s">
        <v>85</v>
      </c>
      <c r="B24" s="6" t="s">
        <v>82</v>
      </c>
      <c r="C24" s="7">
        <v>7</v>
      </c>
      <c r="D24" s="7">
        <v>6</v>
      </c>
      <c r="E24" s="7">
        <v>1296</v>
      </c>
      <c r="F24" s="7">
        <v>24</v>
      </c>
      <c r="G24" s="8">
        <v>0.28999999999999998</v>
      </c>
      <c r="H24" s="8">
        <v>41.76</v>
      </c>
      <c r="I24" s="9"/>
      <c r="J24" s="9">
        <v>9062</v>
      </c>
      <c r="K24" s="9" t="s">
        <v>88</v>
      </c>
      <c r="L24" s="9"/>
      <c r="M24" s="9" t="s">
        <v>89</v>
      </c>
      <c r="N24" s="11">
        <f t="shared" ref="N24:N53" si="5">(72/E24)+G24</f>
        <v>0.3455555555555555</v>
      </c>
      <c r="O24" s="11">
        <f t="shared" si="0"/>
        <v>18.964088888888888</v>
      </c>
      <c r="P24" s="11">
        <f t="shared" si="3"/>
        <v>0.42271604938271601</v>
      </c>
      <c r="Q24" s="11">
        <v>0.55000000000000004</v>
      </c>
      <c r="R24" s="11">
        <f t="shared" si="1"/>
        <v>13.750000000000002</v>
      </c>
      <c r="S24" s="12">
        <v>15</v>
      </c>
      <c r="T24" s="12">
        <v>25</v>
      </c>
      <c r="U24" s="13">
        <f t="shared" si="4"/>
        <v>0.3658555555555556</v>
      </c>
    </row>
    <row r="25" spans="1:21" ht="15" customHeight="1" x14ac:dyDescent="0.25">
      <c r="A25" s="6" t="s">
        <v>90</v>
      </c>
      <c r="B25" s="6" t="s">
        <v>91</v>
      </c>
      <c r="C25" s="7">
        <v>11</v>
      </c>
      <c r="D25" s="7">
        <v>10</v>
      </c>
      <c r="E25" s="7">
        <v>500</v>
      </c>
      <c r="F25" s="7">
        <v>10</v>
      </c>
      <c r="G25" s="8">
        <v>0.74</v>
      </c>
      <c r="H25" s="8">
        <v>74</v>
      </c>
      <c r="I25" s="9" t="s">
        <v>24</v>
      </c>
      <c r="J25" s="9">
        <v>111877</v>
      </c>
      <c r="K25" s="9" t="s">
        <v>64</v>
      </c>
      <c r="L25" s="9"/>
      <c r="M25" s="9" t="s">
        <v>92</v>
      </c>
      <c r="N25" s="11">
        <f t="shared" si="5"/>
        <v>0.88400000000000001</v>
      </c>
      <c r="O25" s="11">
        <f t="shared" si="0"/>
        <v>48.513920000000006</v>
      </c>
      <c r="P25" s="11">
        <f t="shared" si="3"/>
        <v>1.0840000000000001</v>
      </c>
      <c r="Q25" s="11">
        <v>1.1000000000000001</v>
      </c>
      <c r="R25" s="11">
        <f t="shared" si="1"/>
        <v>27.500000000000004</v>
      </c>
      <c r="S25" s="12">
        <v>30</v>
      </c>
      <c r="T25" s="12">
        <v>55</v>
      </c>
      <c r="U25" s="13">
        <f t="shared" si="4"/>
        <v>0.93580000000000008</v>
      </c>
    </row>
    <row r="26" spans="1:21" ht="15" customHeight="1" x14ac:dyDescent="0.25">
      <c r="A26" s="6" t="s">
        <v>93</v>
      </c>
      <c r="B26" s="6" t="s">
        <v>94</v>
      </c>
      <c r="C26" s="7">
        <v>14</v>
      </c>
      <c r="D26" s="7">
        <v>5</v>
      </c>
      <c r="E26" s="7">
        <v>252</v>
      </c>
      <c r="F26" s="7">
        <v>7</v>
      </c>
      <c r="G26" s="8">
        <v>1.73</v>
      </c>
      <c r="H26" s="8">
        <v>60.55</v>
      </c>
      <c r="I26" s="9" t="s">
        <v>95</v>
      </c>
      <c r="J26" s="9">
        <v>28</v>
      </c>
      <c r="K26" s="9" t="s">
        <v>96</v>
      </c>
      <c r="L26" s="9"/>
      <c r="M26" s="9" t="s">
        <v>97</v>
      </c>
      <c r="N26" s="11">
        <f t="shared" si="5"/>
        <v>2.0157142857142856</v>
      </c>
      <c r="O26" s="11">
        <f t="shared" si="0"/>
        <v>110.62240000000001</v>
      </c>
      <c r="P26" s="11">
        <f t="shared" si="3"/>
        <v>2.4125396825396823</v>
      </c>
      <c r="Q26" s="11">
        <v>2.4</v>
      </c>
      <c r="R26" s="11">
        <f t="shared" si="1"/>
        <v>60</v>
      </c>
      <c r="S26" s="12">
        <v>60</v>
      </c>
      <c r="T26" s="12">
        <v>100</v>
      </c>
      <c r="U26" s="13">
        <f t="shared" si="4"/>
        <v>2.1368142857142858</v>
      </c>
    </row>
    <row r="27" spans="1:21" ht="15" customHeight="1" x14ac:dyDescent="0.25">
      <c r="A27" s="6" t="s">
        <v>98</v>
      </c>
      <c r="B27" s="6" t="s">
        <v>99</v>
      </c>
      <c r="C27" s="7">
        <v>12</v>
      </c>
      <c r="D27" s="7">
        <v>25</v>
      </c>
      <c r="E27" s="7">
        <v>450</v>
      </c>
      <c r="F27" s="7">
        <v>10</v>
      </c>
      <c r="G27" s="8">
        <v>0.62</v>
      </c>
      <c r="H27" s="8">
        <v>155</v>
      </c>
      <c r="I27" s="9" t="s">
        <v>100</v>
      </c>
      <c r="J27" s="9">
        <v>8153</v>
      </c>
      <c r="K27" s="9" t="s">
        <v>101</v>
      </c>
      <c r="L27" s="9"/>
      <c r="M27" s="9" t="s">
        <v>102</v>
      </c>
      <c r="N27" s="11">
        <f t="shared" si="5"/>
        <v>0.78</v>
      </c>
      <c r="O27" s="11">
        <f t="shared" si="0"/>
        <v>42.806400000000004</v>
      </c>
      <c r="P27" s="11">
        <f t="shared" si="3"/>
        <v>1.0022222222222221</v>
      </c>
      <c r="Q27" s="11">
        <v>1.1000000000000001</v>
      </c>
      <c r="R27" s="11">
        <f t="shared" si="1"/>
        <v>27.500000000000004</v>
      </c>
      <c r="S27" s="12">
        <v>30</v>
      </c>
      <c r="T27" s="12">
        <v>50</v>
      </c>
      <c r="U27" s="13">
        <f t="shared" si="4"/>
        <v>0.82340000000000002</v>
      </c>
    </row>
    <row r="28" spans="1:21" ht="15" customHeight="1" x14ac:dyDescent="0.25">
      <c r="A28" s="6" t="s">
        <v>103</v>
      </c>
      <c r="B28" s="6" t="s">
        <v>104</v>
      </c>
      <c r="C28" s="7">
        <v>9</v>
      </c>
      <c r="D28" s="7">
        <v>20</v>
      </c>
      <c r="E28" s="7">
        <v>900</v>
      </c>
      <c r="F28" s="7">
        <v>18</v>
      </c>
      <c r="G28" s="8">
        <v>0.35</v>
      </c>
      <c r="H28" s="8">
        <v>126</v>
      </c>
      <c r="I28" s="9" t="s">
        <v>105</v>
      </c>
      <c r="J28" s="9">
        <v>110423</v>
      </c>
      <c r="K28" s="9"/>
      <c r="L28" s="9"/>
      <c r="M28" s="9" t="s">
        <v>106</v>
      </c>
      <c r="N28" s="11">
        <f t="shared" si="5"/>
        <v>0.43</v>
      </c>
      <c r="O28" s="11">
        <f t="shared" si="0"/>
        <v>23.598400000000002</v>
      </c>
      <c r="P28" s="11">
        <f t="shared" si="3"/>
        <v>0.5411111111111111</v>
      </c>
      <c r="Q28" s="11">
        <v>0.8</v>
      </c>
      <c r="R28" s="11">
        <f t="shared" si="1"/>
        <v>20</v>
      </c>
      <c r="S28" s="12">
        <v>25</v>
      </c>
      <c r="T28" s="12">
        <v>35</v>
      </c>
      <c r="U28" s="13">
        <f t="shared" si="4"/>
        <v>0.45450000000000002</v>
      </c>
    </row>
    <row r="29" spans="1:21" ht="15" customHeight="1" x14ac:dyDescent="0.25">
      <c r="A29" s="14" t="s">
        <v>107</v>
      </c>
      <c r="B29" s="6" t="s">
        <v>108</v>
      </c>
      <c r="C29" s="7">
        <v>16</v>
      </c>
      <c r="D29" s="7">
        <v>12</v>
      </c>
      <c r="E29" s="7">
        <v>280</v>
      </c>
      <c r="F29" s="7">
        <v>7</v>
      </c>
      <c r="G29" s="8">
        <v>1.04</v>
      </c>
      <c r="H29" s="8">
        <v>87.36</v>
      </c>
      <c r="I29" s="9"/>
      <c r="J29" s="9">
        <v>47379</v>
      </c>
      <c r="K29" s="9"/>
      <c r="L29" s="9"/>
      <c r="M29" s="9" t="s">
        <v>109</v>
      </c>
      <c r="N29" s="11">
        <f t="shared" si="5"/>
        <v>1.2971428571428572</v>
      </c>
      <c r="O29" s="11">
        <f t="shared" si="0"/>
        <v>71.187200000000004</v>
      </c>
      <c r="P29" s="11">
        <f t="shared" si="3"/>
        <v>1.6542857142857144</v>
      </c>
      <c r="Q29" s="11">
        <v>1.75</v>
      </c>
      <c r="R29" s="11">
        <f t="shared" si="1"/>
        <v>43.75</v>
      </c>
      <c r="S29" s="12">
        <v>45</v>
      </c>
      <c r="T29" s="12">
        <v>80</v>
      </c>
      <c r="U29" s="13">
        <f t="shared" si="4"/>
        <v>1.3699428571428571</v>
      </c>
    </row>
    <row r="30" spans="1:21" ht="15" customHeight="1" x14ac:dyDescent="0.25">
      <c r="A30" s="6" t="s">
        <v>110</v>
      </c>
      <c r="B30" s="6" t="s">
        <v>108</v>
      </c>
      <c r="C30" s="7">
        <v>12</v>
      </c>
      <c r="D30" s="7">
        <v>20</v>
      </c>
      <c r="E30" s="7">
        <v>500</v>
      </c>
      <c r="F30" s="7">
        <v>10</v>
      </c>
      <c r="G30" s="8">
        <v>0.46</v>
      </c>
      <c r="H30" s="8">
        <v>92</v>
      </c>
      <c r="I30" s="9" t="s">
        <v>111</v>
      </c>
      <c r="J30" s="9">
        <v>114329</v>
      </c>
      <c r="K30" s="9" t="s">
        <v>112</v>
      </c>
      <c r="L30" s="9"/>
      <c r="M30" s="9" t="s">
        <v>113</v>
      </c>
      <c r="N30" s="11">
        <f t="shared" si="5"/>
        <v>0.60399999999999998</v>
      </c>
      <c r="O30" s="11">
        <f t="shared" si="0"/>
        <v>33.14752</v>
      </c>
      <c r="P30" s="11">
        <f t="shared" si="3"/>
        <v>0.80400000000000005</v>
      </c>
      <c r="Q30" s="11">
        <v>1.1000000000000001</v>
      </c>
      <c r="R30" s="11">
        <f t="shared" si="1"/>
        <v>27.500000000000004</v>
      </c>
      <c r="S30" s="12">
        <v>28</v>
      </c>
      <c r="T30" s="12">
        <v>50</v>
      </c>
      <c r="U30" s="13">
        <f t="shared" si="4"/>
        <v>0.63619999999999999</v>
      </c>
    </row>
    <row r="31" spans="1:21" ht="15" customHeight="1" x14ac:dyDescent="0.25">
      <c r="A31" s="6" t="s">
        <v>110</v>
      </c>
      <c r="B31" s="6" t="s">
        <v>108</v>
      </c>
      <c r="C31" s="7">
        <v>9</v>
      </c>
      <c r="D31" s="7">
        <v>55</v>
      </c>
      <c r="E31" s="7">
        <v>900</v>
      </c>
      <c r="F31" s="7">
        <v>18</v>
      </c>
      <c r="G31" s="8">
        <v>0.35</v>
      </c>
      <c r="H31" s="8">
        <v>346.5</v>
      </c>
      <c r="I31" s="9" t="s">
        <v>114</v>
      </c>
      <c r="J31" s="9">
        <v>6909</v>
      </c>
      <c r="K31" s="9" t="s">
        <v>112</v>
      </c>
      <c r="L31" s="9"/>
      <c r="M31" s="9" t="s">
        <v>115</v>
      </c>
      <c r="N31" s="11">
        <f t="shared" si="5"/>
        <v>0.43</v>
      </c>
      <c r="O31" s="11">
        <f t="shared" si="0"/>
        <v>23.598400000000002</v>
      </c>
      <c r="P31" s="11">
        <f t="shared" si="3"/>
        <v>0.5411111111111111</v>
      </c>
      <c r="Q31" s="11">
        <v>0.8</v>
      </c>
      <c r="R31" s="11">
        <f t="shared" si="1"/>
        <v>20</v>
      </c>
      <c r="S31" s="12">
        <v>20</v>
      </c>
      <c r="T31" s="12">
        <v>35</v>
      </c>
      <c r="U31" s="13">
        <f t="shared" si="4"/>
        <v>0.45450000000000002</v>
      </c>
    </row>
    <row r="32" spans="1:21" ht="15" customHeight="1" x14ac:dyDescent="0.25">
      <c r="A32" s="6" t="s">
        <v>116</v>
      </c>
      <c r="B32" s="6" t="s">
        <v>117</v>
      </c>
      <c r="C32" s="7">
        <v>13</v>
      </c>
      <c r="D32" s="7">
        <v>5</v>
      </c>
      <c r="E32" s="7">
        <v>320</v>
      </c>
      <c r="F32" s="7">
        <v>8</v>
      </c>
      <c r="G32" s="8">
        <v>1.2</v>
      </c>
      <c r="H32" s="8">
        <v>48</v>
      </c>
      <c r="I32" s="9" t="s">
        <v>118</v>
      </c>
      <c r="J32" s="9">
        <v>43852</v>
      </c>
      <c r="K32" s="9" t="s">
        <v>112</v>
      </c>
      <c r="L32" s="9"/>
      <c r="M32" s="9" t="s">
        <v>119</v>
      </c>
      <c r="N32" s="11">
        <f t="shared" si="5"/>
        <v>1.425</v>
      </c>
      <c r="O32" s="11">
        <f t="shared" si="0"/>
        <v>78.204000000000008</v>
      </c>
      <c r="P32" s="11">
        <f t="shared" si="3"/>
        <v>1.7375</v>
      </c>
      <c r="Q32" s="11">
        <v>1.8</v>
      </c>
      <c r="R32" s="11">
        <f t="shared" si="1"/>
        <v>45</v>
      </c>
      <c r="S32" s="12">
        <v>45</v>
      </c>
      <c r="T32" s="12">
        <v>80</v>
      </c>
      <c r="U32" s="13">
        <f t="shared" si="4"/>
        <v>1.5090000000000001</v>
      </c>
    </row>
    <row r="33" spans="1:21" ht="15" customHeight="1" x14ac:dyDescent="0.25">
      <c r="A33" s="6" t="s">
        <v>120</v>
      </c>
      <c r="B33" s="6" t="s">
        <v>121</v>
      </c>
      <c r="C33" s="7">
        <v>12</v>
      </c>
      <c r="D33" s="7">
        <v>15</v>
      </c>
      <c r="E33" s="7">
        <v>280</v>
      </c>
      <c r="F33" s="7">
        <v>8</v>
      </c>
      <c r="G33" s="8">
        <v>2.2400000000000002</v>
      </c>
      <c r="H33" s="8">
        <v>268.8</v>
      </c>
      <c r="I33" s="9" t="s">
        <v>122</v>
      </c>
      <c r="J33" s="9">
        <v>58079</v>
      </c>
      <c r="K33" s="9" t="s">
        <v>112</v>
      </c>
      <c r="L33" s="9"/>
      <c r="M33" s="9" t="s">
        <v>123</v>
      </c>
      <c r="N33" s="11">
        <f t="shared" si="5"/>
        <v>2.4971428571428573</v>
      </c>
      <c r="O33" s="11">
        <f t="shared" si="0"/>
        <v>137.04320000000004</v>
      </c>
      <c r="P33" s="11">
        <f t="shared" si="3"/>
        <v>2.8542857142857145</v>
      </c>
      <c r="Q33" s="11">
        <f>(100/E33)+N33</f>
        <v>2.8542857142857145</v>
      </c>
      <c r="R33" s="11">
        <f t="shared" si="1"/>
        <v>71.357142857142861</v>
      </c>
      <c r="S33" s="12">
        <v>75</v>
      </c>
      <c r="T33" s="12">
        <v>130</v>
      </c>
      <c r="U33" s="13">
        <f t="shared" si="4"/>
        <v>2.6539428571428574</v>
      </c>
    </row>
    <row r="34" spans="1:21" ht="15" customHeight="1" x14ac:dyDescent="0.25">
      <c r="A34" s="14" t="s">
        <v>124</v>
      </c>
      <c r="B34" s="6" t="s">
        <v>125</v>
      </c>
      <c r="C34" s="7">
        <v>0</v>
      </c>
      <c r="D34" s="7">
        <v>528</v>
      </c>
      <c r="E34" s="7">
        <v>264</v>
      </c>
      <c r="F34" s="7">
        <v>1</v>
      </c>
      <c r="G34" s="8">
        <v>1.04</v>
      </c>
      <c r="H34" s="8">
        <v>549.12</v>
      </c>
      <c r="I34" s="9"/>
      <c r="J34" s="9">
        <v>6768</v>
      </c>
      <c r="K34" s="9" t="s">
        <v>112</v>
      </c>
      <c r="L34" s="9"/>
      <c r="M34" s="9" t="s">
        <v>126</v>
      </c>
      <c r="N34" s="11">
        <f t="shared" si="5"/>
        <v>1.3127272727272727</v>
      </c>
      <c r="O34" s="11">
        <f t="shared" si="0"/>
        <v>72.042472727272738</v>
      </c>
      <c r="P34" s="11">
        <f t="shared" si="3"/>
        <v>1.6915151515151514</v>
      </c>
      <c r="Q34" s="11">
        <v>2.4</v>
      </c>
      <c r="R34" s="11">
        <f t="shared" si="1"/>
        <v>60</v>
      </c>
      <c r="S34" s="12">
        <v>65</v>
      </c>
      <c r="T34" s="12">
        <v>100</v>
      </c>
      <c r="U34" s="13">
        <f t="shared" si="4"/>
        <v>1.3855272727272727</v>
      </c>
    </row>
    <row r="35" spans="1:21" ht="15" customHeight="1" x14ac:dyDescent="0.25">
      <c r="A35" s="6" t="s">
        <v>127</v>
      </c>
      <c r="B35" s="6" t="s">
        <v>67</v>
      </c>
      <c r="C35" s="7">
        <v>9</v>
      </c>
      <c r="D35" s="7">
        <v>60</v>
      </c>
      <c r="E35" s="7">
        <v>720</v>
      </c>
      <c r="F35" s="7">
        <v>12</v>
      </c>
      <c r="G35" s="8">
        <v>0.44</v>
      </c>
      <c r="H35" s="8">
        <v>316.8</v>
      </c>
      <c r="I35" s="9" t="s">
        <v>128</v>
      </c>
      <c r="J35" s="9">
        <v>46598</v>
      </c>
      <c r="K35" s="9" t="s">
        <v>112</v>
      </c>
      <c r="L35" s="9"/>
      <c r="M35" s="9" t="s">
        <v>129</v>
      </c>
      <c r="N35" s="11">
        <f t="shared" si="5"/>
        <v>0.54</v>
      </c>
      <c r="O35" s="11">
        <f t="shared" si="0"/>
        <v>29.635200000000005</v>
      </c>
      <c r="P35" s="11">
        <f t="shared" si="3"/>
        <v>0.67888888888888888</v>
      </c>
      <c r="Q35" s="11">
        <v>0.6</v>
      </c>
      <c r="R35" s="11">
        <f t="shared" si="1"/>
        <v>15</v>
      </c>
      <c r="S35" s="12">
        <v>16</v>
      </c>
      <c r="T35" s="12">
        <v>25</v>
      </c>
      <c r="U35" s="13">
        <f t="shared" si="4"/>
        <v>0.57080000000000009</v>
      </c>
    </row>
    <row r="36" spans="1:21" ht="15" customHeight="1" x14ac:dyDescent="0.25">
      <c r="A36" s="6" t="s">
        <v>127</v>
      </c>
      <c r="B36" s="6" t="s">
        <v>130</v>
      </c>
      <c r="C36" s="7">
        <v>11</v>
      </c>
      <c r="D36" s="7">
        <v>10</v>
      </c>
      <c r="E36" s="7">
        <v>450</v>
      </c>
      <c r="F36" s="7">
        <v>10</v>
      </c>
      <c r="G36" s="8">
        <v>0.69</v>
      </c>
      <c r="H36" s="8">
        <v>69</v>
      </c>
      <c r="I36" s="9" t="s">
        <v>131</v>
      </c>
      <c r="J36" s="9">
        <v>8977</v>
      </c>
      <c r="K36" s="9" t="s">
        <v>132</v>
      </c>
      <c r="L36" s="9"/>
      <c r="M36" s="9" t="s">
        <v>133</v>
      </c>
      <c r="N36" s="11">
        <f t="shared" si="5"/>
        <v>0.85</v>
      </c>
      <c r="O36" s="11">
        <f t="shared" si="0"/>
        <v>46.648000000000003</v>
      </c>
      <c r="P36" s="11">
        <f t="shared" si="3"/>
        <v>1.0722222222222222</v>
      </c>
      <c r="Q36" s="11">
        <v>1.1000000000000001</v>
      </c>
      <c r="R36" s="11">
        <f t="shared" si="1"/>
        <v>27.500000000000004</v>
      </c>
      <c r="S36" s="12">
        <v>28</v>
      </c>
      <c r="T36" s="12">
        <v>45</v>
      </c>
      <c r="U36" s="13">
        <f t="shared" si="4"/>
        <v>0.89829999999999999</v>
      </c>
    </row>
    <row r="37" spans="1:21" ht="15" customHeight="1" x14ac:dyDescent="0.25">
      <c r="A37" s="6" t="s">
        <v>127</v>
      </c>
      <c r="B37" s="6" t="s">
        <v>134</v>
      </c>
      <c r="C37" s="7">
        <v>11</v>
      </c>
      <c r="D37" s="7">
        <v>15</v>
      </c>
      <c r="E37" s="7">
        <v>450</v>
      </c>
      <c r="F37" s="7">
        <v>10</v>
      </c>
      <c r="G37" s="8">
        <v>0.69</v>
      </c>
      <c r="H37" s="8">
        <v>103.5</v>
      </c>
      <c r="I37" s="9" t="s">
        <v>135</v>
      </c>
      <c r="J37" s="9">
        <v>6753</v>
      </c>
      <c r="K37" s="9" t="s">
        <v>136</v>
      </c>
      <c r="L37" s="9"/>
      <c r="M37" s="9" t="s">
        <v>137</v>
      </c>
      <c r="N37" s="11">
        <f t="shared" si="5"/>
        <v>0.85</v>
      </c>
      <c r="O37" s="11">
        <f t="shared" si="0"/>
        <v>46.648000000000003</v>
      </c>
      <c r="P37" s="11">
        <f t="shared" si="3"/>
        <v>1.0722222222222222</v>
      </c>
      <c r="Q37" s="11">
        <v>1.1000000000000001</v>
      </c>
      <c r="R37" s="11">
        <f t="shared" si="1"/>
        <v>27.500000000000004</v>
      </c>
      <c r="S37" s="12">
        <v>28</v>
      </c>
      <c r="T37" s="12">
        <v>45</v>
      </c>
      <c r="U37" s="13">
        <f t="shared" si="4"/>
        <v>0.89829999999999999</v>
      </c>
    </row>
    <row r="38" spans="1:21" ht="15" customHeight="1" x14ac:dyDescent="0.25">
      <c r="A38" s="6" t="s">
        <v>138</v>
      </c>
      <c r="B38" s="6" t="s">
        <v>67</v>
      </c>
      <c r="C38" s="7">
        <v>11</v>
      </c>
      <c r="D38" s="7">
        <v>15</v>
      </c>
      <c r="E38" s="7">
        <v>280</v>
      </c>
      <c r="F38" s="7">
        <v>8</v>
      </c>
      <c r="G38" s="8">
        <v>1.07</v>
      </c>
      <c r="H38" s="8">
        <v>128.4</v>
      </c>
      <c r="I38" s="9" t="s">
        <v>139</v>
      </c>
      <c r="J38" s="9">
        <v>6767</v>
      </c>
      <c r="K38" s="9" t="s">
        <v>136</v>
      </c>
      <c r="L38" s="9"/>
      <c r="M38" s="9" t="s">
        <v>140</v>
      </c>
      <c r="N38" s="11">
        <f t="shared" si="5"/>
        <v>1.3271428571428572</v>
      </c>
      <c r="O38" s="11">
        <f t="shared" si="0"/>
        <v>72.833600000000004</v>
      </c>
      <c r="P38" s="11">
        <f t="shared" si="3"/>
        <v>1.6842857142857144</v>
      </c>
      <c r="Q38" s="11">
        <v>1.6</v>
      </c>
      <c r="R38" s="11">
        <f t="shared" si="1"/>
        <v>40</v>
      </c>
      <c r="S38" s="12">
        <v>40</v>
      </c>
      <c r="T38" s="12">
        <v>70</v>
      </c>
      <c r="U38" s="13">
        <f t="shared" si="4"/>
        <v>1.4020428571428571</v>
      </c>
    </row>
    <row r="39" spans="1:21" ht="15" customHeight="1" x14ac:dyDescent="0.25">
      <c r="A39" s="14" t="s">
        <v>141</v>
      </c>
      <c r="B39" s="6" t="s">
        <v>142</v>
      </c>
      <c r="C39" s="7">
        <v>13</v>
      </c>
      <c r="D39" s="7">
        <v>8</v>
      </c>
      <c r="E39" s="7">
        <v>168</v>
      </c>
      <c r="F39" s="7">
        <v>6</v>
      </c>
      <c r="G39" s="8">
        <v>2.82</v>
      </c>
      <c r="H39" s="8">
        <v>135.36000000000001</v>
      </c>
      <c r="I39" s="9"/>
      <c r="J39" s="9">
        <v>6767</v>
      </c>
      <c r="K39" s="9" t="s">
        <v>136</v>
      </c>
      <c r="L39" s="9"/>
      <c r="M39" s="9" t="s">
        <v>143</v>
      </c>
      <c r="N39" s="11">
        <f t="shared" si="5"/>
        <v>3.2485714285714282</v>
      </c>
      <c r="O39" s="11">
        <f t="shared" si="0"/>
        <v>178.2816</v>
      </c>
      <c r="P39" s="11">
        <f t="shared" si="3"/>
        <v>3.8438095238095236</v>
      </c>
      <c r="Q39" s="11">
        <v>3.8</v>
      </c>
      <c r="R39" s="11">
        <f t="shared" si="1"/>
        <v>95</v>
      </c>
      <c r="S39" s="12">
        <v>105</v>
      </c>
      <c r="T39" s="12">
        <v>170</v>
      </c>
      <c r="U39" s="13">
        <f t="shared" si="4"/>
        <v>3.4459714285714282</v>
      </c>
    </row>
    <row r="40" spans="1:21" ht="15" customHeight="1" x14ac:dyDescent="0.25">
      <c r="A40" s="6" t="s">
        <v>144</v>
      </c>
      <c r="B40" s="6" t="s">
        <v>23</v>
      </c>
      <c r="C40" s="7">
        <v>11</v>
      </c>
      <c r="D40" s="7">
        <v>10</v>
      </c>
      <c r="E40" s="7">
        <v>500</v>
      </c>
      <c r="F40" s="7">
        <v>10</v>
      </c>
      <c r="G40" s="8">
        <v>0.74</v>
      </c>
      <c r="H40" s="8">
        <v>74</v>
      </c>
      <c r="I40" s="9" t="s">
        <v>24</v>
      </c>
      <c r="J40" s="9">
        <v>33121</v>
      </c>
      <c r="K40" s="9" t="s">
        <v>145</v>
      </c>
      <c r="L40" s="9"/>
      <c r="M40" s="9" t="s">
        <v>146</v>
      </c>
      <c r="N40" s="11">
        <f t="shared" si="5"/>
        <v>0.88400000000000001</v>
      </c>
      <c r="O40" s="11">
        <f t="shared" si="0"/>
        <v>48.513920000000006</v>
      </c>
      <c r="P40" s="11">
        <f t="shared" si="3"/>
        <v>1.0840000000000001</v>
      </c>
      <c r="Q40" s="11">
        <v>1.1000000000000001</v>
      </c>
      <c r="R40" s="11">
        <f t="shared" si="1"/>
        <v>27.500000000000004</v>
      </c>
      <c r="S40" s="12">
        <v>30</v>
      </c>
      <c r="T40" s="12">
        <v>55</v>
      </c>
      <c r="U40" s="13">
        <f t="shared" si="4"/>
        <v>0.93580000000000008</v>
      </c>
    </row>
    <row r="41" spans="1:21" ht="15" customHeight="1" x14ac:dyDescent="0.25">
      <c r="A41" s="6" t="s">
        <v>147</v>
      </c>
      <c r="B41" s="6" t="s">
        <v>35</v>
      </c>
      <c r="C41" s="7">
        <v>13</v>
      </c>
      <c r="D41" s="7">
        <v>10</v>
      </c>
      <c r="E41" s="7">
        <v>320</v>
      </c>
      <c r="F41" s="7">
        <v>8</v>
      </c>
      <c r="G41" s="8">
        <v>0.92</v>
      </c>
      <c r="H41" s="8">
        <v>73.599999999999994</v>
      </c>
      <c r="I41" s="9" t="s">
        <v>148</v>
      </c>
      <c r="J41" s="9">
        <v>319513</v>
      </c>
      <c r="K41" s="9" t="s">
        <v>8</v>
      </c>
      <c r="L41" s="9"/>
      <c r="M41" s="9" t="s">
        <v>149</v>
      </c>
      <c r="N41" s="11">
        <f t="shared" si="5"/>
        <v>1.145</v>
      </c>
      <c r="O41" s="11">
        <f t="shared" si="0"/>
        <v>62.837600000000009</v>
      </c>
      <c r="P41" s="11">
        <f t="shared" si="3"/>
        <v>1.4575</v>
      </c>
      <c r="Q41" s="11">
        <v>1.5</v>
      </c>
      <c r="R41" s="11">
        <f t="shared" si="1"/>
        <v>37.5</v>
      </c>
      <c r="S41" s="12">
        <v>40</v>
      </c>
      <c r="T41" s="12">
        <v>70</v>
      </c>
      <c r="U41" s="13">
        <f t="shared" si="4"/>
        <v>1.2094</v>
      </c>
    </row>
    <row r="42" spans="1:21" ht="15" customHeight="1" x14ac:dyDescent="0.25">
      <c r="A42" s="6" t="s">
        <v>144</v>
      </c>
      <c r="B42" s="6" t="s">
        <v>37</v>
      </c>
      <c r="C42" s="7">
        <v>13</v>
      </c>
      <c r="D42" s="7">
        <v>5</v>
      </c>
      <c r="E42" s="7">
        <v>320</v>
      </c>
      <c r="F42" s="7">
        <v>8</v>
      </c>
      <c r="G42" s="8">
        <v>0.92</v>
      </c>
      <c r="H42" s="8">
        <v>36.799999999999997</v>
      </c>
      <c r="I42" s="9" t="s">
        <v>148</v>
      </c>
      <c r="J42" s="9">
        <v>111334</v>
      </c>
      <c r="K42" s="9" t="s">
        <v>150</v>
      </c>
      <c r="L42" s="9"/>
      <c r="M42" s="9" t="s">
        <v>151</v>
      </c>
      <c r="N42" s="11">
        <f t="shared" si="5"/>
        <v>1.145</v>
      </c>
      <c r="O42" s="11">
        <f t="shared" si="0"/>
        <v>62.837600000000009</v>
      </c>
      <c r="P42" s="11">
        <f t="shared" si="3"/>
        <v>1.4575</v>
      </c>
      <c r="Q42" s="11">
        <v>1.5</v>
      </c>
      <c r="R42" s="11">
        <f t="shared" si="1"/>
        <v>37.5</v>
      </c>
      <c r="S42" s="12">
        <v>40</v>
      </c>
      <c r="T42" s="12">
        <v>70</v>
      </c>
      <c r="U42" s="13">
        <f t="shared" si="4"/>
        <v>1.2094</v>
      </c>
    </row>
    <row r="43" spans="1:21" ht="15" customHeight="1" x14ac:dyDescent="0.25">
      <c r="A43" s="6" t="s">
        <v>144</v>
      </c>
      <c r="B43" s="6" t="s">
        <v>44</v>
      </c>
      <c r="C43" s="7">
        <v>13</v>
      </c>
      <c r="D43" s="7">
        <v>5</v>
      </c>
      <c r="E43" s="7">
        <v>320</v>
      </c>
      <c r="F43" s="7">
        <v>8</v>
      </c>
      <c r="G43" s="8">
        <v>0.92</v>
      </c>
      <c r="H43" s="8">
        <v>36.799999999999997</v>
      </c>
      <c r="I43" s="9" t="s">
        <v>148</v>
      </c>
      <c r="J43" s="9">
        <v>9631</v>
      </c>
      <c r="K43" s="9" t="s">
        <v>152</v>
      </c>
      <c r="L43" s="9"/>
      <c r="M43" s="9" t="s">
        <v>153</v>
      </c>
      <c r="N43" s="11">
        <f t="shared" si="5"/>
        <v>1.145</v>
      </c>
      <c r="O43" s="11">
        <f t="shared" si="0"/>
        <v>62.837600000000009</v>
      </c>
      <c r="P43" s="11">
        <f t="shared" si="3"/>
        <v>1.4575</v>
      </c>
      <c r="Q43" s="11">
        <v>1.5</v>
      </c>
      <c r="R43" s="11">
        <f t="shared" si="1"/>
        <v>37.5</v>
      </c>
      <c r="S43" s="12">
        <v>40</v>
      </c>
      <c r="T43" s="12">
        <v>70</v>
      </c>
      <c r="U43" s="13">
        <f t="shared" si="4"/>
        <v>1.2094</v>
      </c>
    </row>
    <row r="44" spans="1:21" ht="15" customHeight="1" x14ac:dyDescent="0.25">
      <c r="A44" s="6" t="s">
        <v>154</v>
      </c>
      <c r="B44" s="6" t="s">
        <v>23</v>
      </c>
      <c r="C44" s="7">
        <v>11</v>
      </c>
      <c r="D44" s="7">
        <v>10</v>
      </c>
      <c r="E44" s="7">
        <v>500</v>
      </c>
      <c r="F44" s="7">
        <v>10</v>
      </c>
      <c r="G44" s="8">
        <v>0.74</v>
      </c>
      <c r="H44" s="8">
        <v>74</v>
      </c>
      <c r="I44" s="9" t="s">
        <v>24</v>
      </c>
      <c r="J44" s="9">
        <v>9631</v>
      </c>
      <c r="K44" s="9" t="s">
        <v>152</v>
      </c>
      <c r="L44" s="9"/>
      <c r="M44" s="9" t="s">
        <v>155</v>
      </c>
      <c r="N44" s="11">
        <f t="shared" si="5"/>
        <v>0.88400000000000001</v>
      </c>
      <c r="O44" s="11">
        <f t="shared" si="0"/>
        <v>48.513920000000006</v>
      </c>
      <c r="P44" s="11">
        <f t="shared" si="3"/>
        <v>1.0840000000000001</v>
      </c>
      <c r="Q44" s="11">
        <v>1.1000000000000001</v>
      </c>
      <c r="R44" s="11">
        <f t="shared" si="1"/>
        <v>27.500000000000004</v>
      </c>
      <c r="S44" s="12">
        <v>30</v>
      </c>
      <c r="T44" s="12">
        <v>55</v>
      </c>
      <c r="U44" s="13">
        <f t="shared" si="4"/>
        <v>0.93580000000000008</v>
      </c>
    </row>
    <row r="45" spans="1:21" ht="15" customHeight="1" x14ac:dyDescent="0.25">
      <c r="A45" s="14" t="s">
        <v>156</v>
      </c>
      <c r="B45" s="6" t="s">
        <v>60</v>
      </c>
      <c r="C45" s="7">
        <v>11</v>
      </c>
      <c r="D45" s="7">
        <v>6</v>
      </c>
      <c r="E45" s="7">
        <v>486</v>
      </c>
      <c r="F45" s="7">
        <v>9</v>
      </c>
      <c r="G45" s="8">
        <v>0.85</v>
      </c>
      <c r="H45" s="8">
        <v>45.9</v>
      </c>
      <c r="I45" s="9"/>
      <c r="J45" s="9">
        <v>9631</v>
      </c>
      <c r="K45" s="9" t="s">
        <v>152</v>
      </c>
      <c r="L45" s="9"/>
      <c r="M45" s="9" t="s">
        <v>157</v>
      </c>
      <c r="N45" s="11">
        <f t="shared" si="5"/>
        <v>0.99814814814814812</v>
      </c>
      <c r="O45" s="11">
        <f t="shared" si="0"/>
        <v>54.778370370370375</v>
      </c>
      <c r="P45" s="11">
        <f t="shared" si="3"/>
        <v>1.2039094650205762</v>
      </c>
      <c r="Q45" s="11">
        <f>(100/E45)+N45</f>
        <v>1.2039094650205762</v>
      </c>
      <c r="R45" s="11">
        <f t="shared" si="1"/>
        <v>30.097736625514404</v>
      </c>
      <c r="S45" s="12">
        <v>35</v>
      </c>
      <c r="T45" s="12">
        <v>55</v>
      </c>
      <c r="U45" s="13">
        <f t="shared" si="4"/>
        <v>1.0576481481481481</v>
      </c>
    </row>
    <row r="46" spans="1:21" ht="15" customHeight="1" x14ac:dyDescent="0.25">
      <c r="A46" s="6" t="s">
        <v>158</v>
      </c>
      <c r="B46" s="6" t="s">
        <v>159</v>
      </c>
      <c r="C46" s="7">
        <v>23</v>
      </c>
      <c r="D46" s="7">
        <v>30</v>
      </c>
      <c r="E46" s="7">
        <v>105</v>
      </c>
      <c r="F46" s="7">
        <v>1</v>
      </c>
      <c r="G46" s="8">
        <v>3.39</v>
      </c>
      <c r="H46" s="8">
        <v>101.7</v>
      </c>
      <c r="I46" s="9" t="s">
        <v>160</v>
      </c>
      <c r="J46" s="9">
        <v>9631</v>
      </c>
      <c r="K46" s="9" t="s">
        <v>152</v>
      </c>
      <c r="L46" s="9"/>
      <c r="M46" s="9" t="s">
        <v>161</v>
      </c>
      <c r="N46" s="11">
        <f t="shared" si="5"/>
        <v>4.0757142857142856</v>
      </c>
      <c r="O46" s="11">
        <f t="shared" si="0"/>
        <v>223.67520000000002</v>
      </c>
      <c r="P46" s="11">
        <f t="shared" si="3"/>
        <v>5.0280952380952382</v>
      </c>
      <c r="Q46" s="11">
        <v>5</v>
      </c>
      <c r="R46" s="11">
        <f t="shared" si="1"/>
        <v>125</v>
      </c>
      <c r="S46" s="12">
        <v>135</v>
      </c>
      <c r="T46" s="12">
        <v>220</v>
      </c>
      <c r="U46" s="13">
        <f t="shared" si="4"/>
        <v>4.3130142857142859</v>
      </c>
    </row>
    <row r="47" spans="1:21" ht="15" customHeight="1" x14ac:dyDescent="0.25">
      <c r="A47" s="6" t="s">
        <v>162</v>
      </c>
      <c r="B47" s="6" t="s">
        <v>163</v>
      </c>
      <c r="C47" s="7">
        <v>11</v>
      </c>
      <c r="D47" s="7">
        <v>66</v>
      </c>
      <c r="E47" s="7">
        <v>528</v>
      </c>
      <c r="F47" s="7">
        <v>11</v>
      </c>
      <c r="G47" s="8">
        <v>1.82</v>
      </c>
      <c r="H47" s="8">
        <v>120.12</v>
      </c>
      <c r="I47" s="9" t="s">
        <v>164</v>
      </c>
      <c r="J47" s="9">
        <v>9631</v>
      </c>
      <c r="K47" s="9" t="s">
        <v>152</v>
      </c>
      <c r="L47" s="9"/>
      <c r="M47" s="9" t="s">
        <v>165</v>
      </c>
      <c r="N47" s="11">
        <f t="shared" si="5"/>
        <v>1.9563636363636365</v>
      </c>
      <c r="O47" s="11">
        <f t="shared" si="0"/>
        <v>107.36523636363638</v>
      </c>
      <c r="P47" s="11">
        <f t="shared" si="3"/>
        <v>2.145757575757576</v>
      </c>
      <c r="Q47" s="11">
        <v>2.2000000000000002</v>
      </c>
      <c r="R47" s="11">
        <f t="shared" si="1"/>
        <v>55.000000000000007</v>
      </c>
      <c r="S47" s="12">
        <v>60</v>
      </c>
      <c r="T47" s="12">
        <v>100</v>
      </c>
      <c r="U47" s="13">
        <f t="shared" si="4"/>
        <v>2.0837636363636367</v>
      </c>
    </row>
    <row r="48" spans="1:21" ht="15" customHeight="1" x14ac:dyDescent="0.25">
      <c r="A48" s="14" t="s">
        <v>166</v>
      </c>
      <c r="B48" s="6" t="s">
        <v>167</v>
      </c>
      <c r="C48" s="7">
        <v>0</v>
      </c>
      <c r="D48" s="7">
        <v>1056</v>
      </c>
      <c r="E48" s="7">
        <v>264</v>
      </c>
      <c r="F48" s="7">
        <v>1</v>
      </c>
      <c r="G48" s="8">
        <v>1.04</v>
      </c>
      <c r="H48" s="8">
        <v>1098.24</v>
      </c>
      <c r="I48" s="9"/>
      <c r="J48" s="9">
        <v>7403</v>
      </c>
      <c r="K48" s="9" t="s">
        <v>112</v>
      </c>
      <c r="L48" s="9"/>
      <c r="M48" s="9" t="s">
        <v>168</v>
      </c>
      <c r="N48" s="11">
        <f t="shared" si="5"/>
        <v>1.3127272727272727</v>
      </c>
      <c r="O48" s="11">
        <f t="shared" si="0"/>
        <v>72.042472727272738</v>
      </c>
      <c r="P48" s="11">
        <f t="shared" si="3"/>
        <v>1.6915151515151514</v>
      </c>
      <c r="Q48" s="11">
        <v>1.8</v>
      </c>
      <c r="R48" s="11">
        <f t="shared" si="1"/>
        <v>45</v>
      </c>
      <c r="S48" s="12">
        <v>50</v>
      </c>
      <c r="T48" s="12">
        <v>80</v>
      </c>
      <c r="U48" s="13">
        <f t="shared" si="4"/>
        <v>1.3855272727272727</v>
      </c>
    </row>
    <row r="49" spans="1:21" ht="15" customHeight="1" x14ac:dyDescent="0.25">
      <c r="A49" s="14" t="s">
        <v>169</v>
      </c>
      <c r="B49" s="6" t="s">
        <v>170</v>
      </c>
      <c r="C49" s="7">
        <v>0</v>
      </c>
      <c r="D49" s="7">
        <v>1056</v>
      </c>
      <c r="E49" s="7">
        <v>264</v>
      </c>
      <c r="F49" s="7">
        <v>1</v>
      </c>
      <c r="G49" s="8">
        <v>1.04</v>
      </c>
      <c r="H49" s="8">
        <v>1098.24</v>
      </c>
      <c r="I49" s="9"/>
      <c r="J49" s="9">
        <v>7403</v>
      </c>
      <c r="K49" s="9" t="s">
        <v>112</v>
      </c>
      <c r="L49" s="9"/>
      <c r="M49" s="9" t="s">
        <v>168</v>
      </c>
      <c r="N49" s="11">
        <f t="shared" si="5"/>
        <v>1.3127272727272727</v>
      </c>
      <c r="O49" s="11">
        <f t="shared" si="0"/>
        <v>72.042472727272738</v>
      </c>
      <c r="P49" s="11">
        <f t="shared" si="3"/>
        <v>1.6915151515151514</v>
      </c>
      <c r="Q49" s="11">
        <v>1.8</v>
      </c>
      <c r="R49" s="11">
        <f t="shared" si="1"/>
        <v>45</v>
      </c>
      <c r="S49" s="12">
        <v>50</v>
      </c>
      <c r="T49" s="12">
        <v>80</v>
      </c>
      <c r="U49" s="13">
        <f t="shared" si="4"/>
        <v>1.3855272727272727</v>
      </c>
    </row>
    <row r="50" spans="1:21" ht="15" customHeight="1" x14ac:dyDescent="0.25">
      <c r="A50" s="6" t="s">
        <v>171</v>
      </c>
      <c r="B50" s="6" t="s">
        <v>60</v>
      </c>
      <c r="C50" s="7">
        <v>9</v>
      </c>
      <c r="D50" s="7">
        <v>165</v>
      </c>
      <c r="E50" s="7">
        <v>900</v>
      </c>
      <c r="F50" s="7">
        <v>18</v>
      </c>
      <c r="G50" s="8">
        <v>0.28999999999999998</v>
      </c>
      <c r="H50" s="8">
        <v>861.3</v>
      </c>
      <c r="I50" s="9" t="s">
        <v>172</v>
      </c>
      <c r="J50" s="9">
        <v>120714</v>
      </c>
      <c r="K50" s="9" t="s">
        <v>173</v>
      </c>
      <c r="L50" s="9"/>
      <c r="M50" s="9" t="s">
        <v>174</v>
      </c>
      <c r="N50" s="11">
        <f t="shared" si="5"/>
        <v>0.37</v>
      </c>
      <c r="O50" s="11">
        <f t="shared" si="0"/>
        <v>20.305600000000002</v>
      </c>
      <c r="P50" s="11">
        <f t="shared" si="3"/>
        <v>0.4811111111111111</v>
      </c>
      <c r="Q50" s="11">
        <v>0.44</v>
      </c>
      <c r="R50" s="11">
        <f t="shared" si="1"/>
        <v>11</v>
      </c>
      <c r="S50" s="12">
        <v>12</v>
      </c>
      <c r="T50" s="12">
        <v>20</v>
      </c>
      <c r="U50" s="13">
        <f t="shared" si="4"/>
        <v>0.39030000000000004</v>
      </c>
    </row>
    <row r="51" spans="1:21" ht="15" customHeight="1" x14ac:dyDescent="0.25">
      <c r="A51" s="6" t="s">
        <v>175</v>
      </c>
      <c r="B51" s="6" t="s">
        <v>117</v>
      </c>
      <c r="C51" s="7">
        <v>9</v>
      </c>
      <c r="D51" s="7">
        <v>50</v>
      </c>
      <c r="E51" s="7">
        <v>900</v>
      </c>
      <c r="F51" s="7">
        <v>18</v>
      </c>
      <c r="G51" s="8">
        <v>0.28999999999999998</v>
      </c>
      <c r="H51" s="8">
        <v>261</v>
      </c>
      <c r="I51" s="9" t="s">
        <v>176</v>
      </c>
      <c r="J51" s="9">
        <v>14159</v>
      </c>
      <c r="K51" s="9" t="s">
        <v>177</v>
      </c>
      <c r="L51" s="9"/>
      <c r="M51" s="9"/>
      <c r="N51" s="11">
        <f t="shared" si="5"/>
        <v>0.37</v>
      </c>
      <c r="O51" s="11">
        <f t="shared" si="0"/>
        <v>20.305600000000002</v>
      </c>
      <c r="P51" s="11">
        <f t="shared" si="3"/>
        <v>0.4811111111111111</v>
      </c>
      <c r="Q51" s="11">
        <v>0.44</v>
      </c>
      <c r="R51" s="11">
        <f t="shared" si="1"/>
        <v>11</v>
      </c>
      <c r="S51" s="12">
        <v>12</v>
      </c>
      <c r="T51" s="12">
        <v>20</v>
      </c>
      <c r="U51" s="13">
        <f t="shared" si="4"/>
        <v>0.39030000000000004</v>
      </c>
    </row>
    <row r="52" spans="1:21" ht="15" customHeight="1" x14ac:dyDescent="0.25">
      <c r="A52" s="6" t="s">
        <v>175</v>
      </c>
      <c r="B52" s="6" t="s">
        <v>117</v>
      </c>
      <c r="C52" s="7">
        <v>9</v>
      </c>
      <c r="D52" s="7">
        <v>50</v>
      </c>
      <c r="E52" s="7">
        <v>900</v>
      </c>
      <c r="F52" s="7">
        <v>18</v>
      </c>
      <c r="G52" s="8">
        <v>0.28999999999999998</v>
      </c>
      <c r="H52" s="8">
        <v>261</v>
      </c>
      <c r="I52" s="9" t="s">
        <v>176</v>
      </c>
      <c r="J52" s="9">
        <v>27609</v>
      </c>
      <c r="K52" s="9" t="s">
        <v>178</v>
      </c>
      <c r="L52" s="9"/>
      <c r="M52" s="9"/>
      <c r="N52" s="11">
        <f t="shared" si="5"/>
        <v>0.37</v>
      </c>
      <c r="O52" s="11">
        <f t="shared" si="0"/>
        <v>20.305600000000002</v>
      </c>
      <c r="P52" s="11">
        <f t="shared" si="3"/>
        <v>0.4811111111111111</v>
      </c>
      <c r="Q52" s="11">
        <v>0.44</v>
      </c>
      <c r="R52" s="11">
        <f t="shared" si="1"/>
        <v>11</v>
      </c>
      <c r="S52" s="12">
        <v>12</v>
      </c>
      <c r="T52" s="12">
        <v>20</v>
      </c>
      <c r="U52" s="13">
        <f t="shared" si="4"/>
        <v>0.39030000000000004</v>
      </c>
    </row>
    <row r="53" spans="1:21" ht="15" customHeight="1" x14ac:dyDescent="0.25">
      <c r="A53" s="6" t="s">
        <v>179</v>
      </c>
      <c r="B53" s="6" t="s">
        <v>117</v>
      </c>
      <c r="C53" s="7">
        <v>9</v>
      </c>
      <c r="D53" s="7">
        <v>150</v>
      </c>
      <c r="E53" s="7">
        <v>900</v>
      </c>
      <c r="F53" s="7">
        <v>18</v>
      </c>
      <c r="G53" s="8">
        <v>0.28999999999999998</v>
      </c>
      <c r="H53" s="8">
        <v>783</v>
      </c>
      <c r="I53" s="9" t="s">
        <v>172</v>
      </c>
      <c r="J53" s="9">
        <v>112357</v>
      </c>
      <c r="K53" s="9" t="s">
        <v>180</v>
      </c>
      <c r="L53" s="9"/>
      <c r="M53" s="9"/>
      <c r="N53" s="11">
        <f t="shared" si="5"/>
        <v>0.37</v>
      </c>
      <c r="O53" s="11">
        <f t="shared" si="0"/>
        <v>20.305600000000002</v>
      </c>
      <c r="P53" s="11">
        <f t="shared" si="3"/>
        <v>0.4811111111111111</v>
      </c>
      <c r="Q53" s="11">
        <v>0.44</v>
      </c>
      <c r="R53" s="11">
        <f t="shared" si="1"/>
        <v>11</v>
      </c>
      <c r="S53" s="12">
        <v>12</v>
      </c>
      <c r="T53" s="12">
        <v>20</v>
      </c>
      <c r="U53" s="13">
        <f t="shared" si="4"/>
        <v>0.39030000000000004</v>
      </c>
    </row>
    <row r="54" spans="1:21" ht="15" customHeight="1" x14ac:dyDescent="0.2">
      <c r="C54" s="18"/>
      <c r="D54" s="19"/>
      <c r="E54" s="19"/>
      <c r="F54" s="19"/>
      <c r="G54" s="18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1" ht="12.75" customHeight="1" x14ac:dyDescent="0.2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1" ht="12.75" customHeight="1" x14ac:dyDescent="0.2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1" ht="12.75" customHeight="1" x14ac:dyDescent="0.2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1" ht="12.75" customHeight="1" x14ac:dyDescent="0.2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1" ht="12.75" customHeight="1" x14ac:dyDescent="0.2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1" ht="12.75" customHeight="1" x14ac:dyDescent="0.2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1" ht="12.75" customHeight="1" x14ac:dyDescent="0.2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1" ht="12.75" customHeight="1" x14ac:dyDescent="0.2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1" ht="12.75" customHeight="1" x14ac:dyDescent="0.2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1" ht="12.75" customHeight="1" x14ac:dyDescent="0.2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3:20" ht="12.75" customHeight="1" x14ac:dyDescent="0.2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3:20" ht="12.75" customHeight="1" x14ac:dyDescent="0.2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3:20" ht="12.75" customHeight="1" x14ac:dyDescent="0.2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3:20" ht="12.75" customHeight="1" x14ac:dyDescent="0.2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3:20" ht="12.75" customHeight="1" x14ac:dyDescent="0.2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3:20" ht="12.75" customHeight="1" x14ac:dyDescent="0.2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3:20" ht="12.75" customHeight="1" x14ac:dyDescent="0.2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3:20" ht="12.75" customHeight="1" x14ac:dyDescent="0.2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3:20" ht="12.75" customHeight="1" x14ac:dyDescent="0.2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3:20" ht="12.75" customHeight="1" x14ac:dyDescent="0.2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3:20" ht="12.75" customHeight="1" x14ac:dyDescent="0.2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3:20" ht="12.75" customHeight="1" x14ac:dyDescent="0.2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3:20" ht="12.75" customHeight="1" x14ac:dyDescent="0.2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3:20" ht="12.75" customHeight="1" x14ac:dyDescent="0.2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3:20" ht="12.75" customHeight="1" x14ac:dyDescent="0.2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3:20" ht="12.75" customHeight="1" x14ac:dyDescent="0.2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3:20" ht="12.75" customHeight="1" x14ac:dyDescent="0.2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3:20" ht="12.75" customHeight="1" x14ac:dyDescent="0.2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3:20" ht="12.75" customHeight="1" x14ac:dyDescent="0.2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3:20" ht="12.75" customHeight="1" x14ac:dyDescent="0.2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3:20" ht="12.75" customHeight="1" x14ac:dyDescent="0.2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3:20" ht="12.75" customHeight="1" x14ac:dyDescent="0.2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3:20" ht="12.75" customHeight="1" x14ac:dyDescent="0.2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3:20" ht="12.75" customHeight="1" x14ac:dyDescent="0.2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3:20" ht="12.75" customHeight="1" x14ac:dyDescent="0.2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3:20" ht="12.75" customHeight="1" x14ac:dyDescent="0.2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3:20" ht="12.75" customHeight="1" x14ac:dyDescent="0.2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3:20" ht="12.75" customHeight="1" x14ac:dyDescent="0.2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3:20" ht="12.75" customHeight="1" x14ac:dyDescent="0.2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3:20" ht="12.75" customHeight="1" x14ac:dyDescent="0.2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3:20" ht="12.75" customHeight="1" x14ac:dyDescent="0.2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3:20" ht="12.75" customHeight="1" x14ac:dyDescent="0.2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3:20" ht="12.75" customHeight="1" x14ac:dyDescent="0.2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3:20" ht="12.75" customHeight="1" x14ac:dyDescent="0.2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3:20" ht="12.75" customHeight="1" x14ac:dyDescent="0.2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3:20" ht="12.75" customHeight="1" x14ac:dyDescent="0.2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3:20" ht="12.75" customHeight="1" x14ac:dyDescent="0.2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3:20" ht="12.75" customHeight="1" x14ac:dyDescent="0.2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3:20" ht="12.75" customHeight="1" x14ac:dyDescent="0.2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3:20" ht="12.75" customHeight="1" x14ac:dyDescent="0.2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3:20" ht="12.75" customHeight="1" x14ac:dyDescent="0.2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3:20" ht="12.75" customHeight="1" x14ac:dyDescent="0.2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3:20" ht="12.75" customHeight="1" x14ac:dyDescent="0.2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3:20" ht="12.75" customHeight="1" x14ac:dyDescent="0.2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3:20" ht="12.75" customHeight="1" x14ac:dyDescent="0.2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3:20" ht="12.75" customHeight="1" x14ac:dyDescent="0.2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3:20" ht="12.75" customHeight="1" x14ac:dyDescent="0.2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3:20" ht="12.75" customHeight="1" x14ac:dyDescent="0.2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3:20" ht="12.75" customHeight="1" x14ac:dyDescent="0.2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3:20" ht="12.75" customHeight="1" x14ac:dyDescent="0.2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3:20" ht="12.75" customHeight="1" x14ac:dyDescent="0.2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3:20" ht="12.75" customHeight="1" x14ac:dyDescent="0.2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3:20" ht="12.75" customHeight="1" x14ac:dyDescent="0.2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3:20" ht="12.75" customHeight="1" x14ac:dyDescent="0.2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3:20" ht="12.75" customHeight="1" x14ac:dyDescent="0.2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3:20" ht="12.75" customHeight="1" x14ac:dyDescent="0.2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3:20" ht="12.75" customHeight="1" x14ac:dyDescent="0.2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3:20" ht="12.75" customHeight="1" x14ac:dyDescent="0.2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3:20" ht="12.75" customHeight="1" x14ac:dyDescent="0.2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3:20" ht="12.75" customHeight="1" x14ac:dyDescent="0.2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3:20" ht="12.75" customHeight="1" x14ac:dyDescent="0.2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3:20" ht="12.75" customHeight="1" x14ac:dyDescent="0.2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3:20" ht="12.75" customHeight="1" x14ac:dyDescent="0.2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3:20" ht="12.75" customHeight="1" x14ac:dyDescent="0.2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3:20" ht="12.75" customHeight="1" x14ac:dyDescent="0.2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3:20" ht="12.75" customHeight="1" x14ac:dyDescent="0.2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3:20" ht="12.75" customHeight="1" x14ac:dyDescent="0.2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3:20" ht="12.75" customHeight="1" x14ac:dyDescent="0.2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3:20" ht="12.75" customHeight="1" x14ac:dyDescent="0.2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3:20" ht="12.75" customHeight="1" x14ac:dyDescent="0.2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3:20" ht="12.75" customHeight="1" x14ac:dyDescent="0.2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3:20" ht="12.75" customHeight="1" x14ac:dyDescent="0.2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3:20" ht="12.75" customHeight="1" x14ac:dyDescent="0.2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3:20" ht="12.75" customHeight="1" x14ac:dyDescent="0.2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3:20" ht="12.75" customHeight="1" x14ac:dyDescent="0.2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3:20" ht="12.75" customHeight="1" x14ac:dyDescent="0.2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3:20" ht="12.75" customHeight="1" x14ac:dyDescent="0.2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3:20" ht="12.75" customHeight="1" x14ac:dyDescent="0.2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3:20" ht="12.75" customHeight="1" x14ac:dyDescent="0.2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3:20" ht="12.75" customHeight="1" x14ac:dyDescent="0.2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3:20" ht="12.75" customHeight="1" x14ac:dyDescent="0.2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3:20" ht="12.75" customHeight="1" x14ac:dyDescent="0.2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3:20" ht="12.75" customHeight="1" x14ac:dyDescent="0.2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3:20" ht="12.75" customHeight="1" x14ac:dyDescent="0.2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3:20" ht="12.75" customHeight="1" x14ac:dyDescent="0.2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3:20" ht="12.75" customHeight="1" x14ac:dyDescent="0.2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3:20" ht="12.75" customHeight="1" x14ac:dyDescent="0.2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3:20" ht="12.75" customHeight="1" x14ac:dyDescent="0.2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3:20" ht="12.75" customHeight="1" x14ac:dyDescent="0.2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3:20" ht="12.75" customHeight="1" x14ac:dyDescent="0.2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3:20" ht="12.75" customHeight="1" x14ac:dyDescent="0.2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3:20" ht="12.75" customHeight="1" x14ac:dyDescent="0.2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3:20" ht="12.75" customHeight="1" x14ac:dyDescent="0.2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3:20" ht="12.75" customHeight="1" x14ac:dyDescent="0.2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3:20" ht="12.75" customHeight="1" x14ac:dyDescent="0.2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3:20" ht="12.75" customHeight="1" x14ac:dyDescent="0.2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3:20" ht="12.75" customHeight="1" x14ac:dyDescent="0.2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3:20" ht="12.75" customHeight="1" x14ac:dyDescent="0.2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3:20" ht="12.75" customHeight="1" x14ac:dyDescent="0.2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3:20" ht="12.75" customHeight="1" x14ac:dyDescent="0.2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3:20" ht="12.75" customHeight="1" x14ac:dyDescent="0.2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3:20" ht="12.75" customHeight="1" x14ac:dyDescent="0.2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3:20" ht="12.75" customHeight="1" x14ac:dyDescent="0.2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3:20" ht="12.75" customHeight="1" x14ac:dyDescent="0.2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3:20" ht="12.75" customHeight="1" x14ac:dyDescent="0.2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3:20" ht="12.75" customHeight="1" x14ac:dyDescent="0.2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3:20" ht="12.75" customHeight="1" x14ac:dyDescent="0.2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3:20" ht="12.75" customHeight="1" x14ac:dyDescent="0.2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3:20" ht="12.75" customHeight="1" x14ac:dyDescent="0.2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3:20" ht="12.75" customHeight="1" x14ac:dyDescent="0.2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3:20" ht="12.75" customHeight="1" x14ac:dyDescent="0.2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3:20" ht="12.75" customHeight="1" x14ac:dyDescent="0.2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3:20" ht="12.75" customHeight="1" x14ac:dyDescent="0.2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3:20" ht="12.75" customHeight="1" x14ac:dyDescent="0.2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3:20" ht="12.75" customHeight="1" x14ac:dyDescent="0.2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3:20" ht="12.75" customHeight="1" x14ac:dyDescent="0.2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3:20" ht="12.75" customHeight="1" x14ac:dyDescent="0.2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3:20" ht="12.75" customHeight="1" x14ac:dyDescent="0.2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3:20" ht="12.75" customHeight="1" x14ac:dyDescent="0.2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3:20" ht="12.75" customHeight="1" x14ac:dyDescent="0.2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3:20" ht="12.75" customHeight="1" x14ac:dyDescent="0.2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3:20" ht="12.75" customHeight="1" x14ac:dyDescent="0.2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3:20" ht="12.75" customHeight="1" x14ac:dyDescent="0.2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3:20" ht="12.75" customHeight="1" x14ac:dyDescent="0.2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3:20" ht="12.75" customHeight="1" x14ac:dyDescent="0.2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3:20" ht="12.75" customHeight="1" x14ac:dyDescent="0.2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3:20" ht="12.75" customHeight="1" x14ac:dyDescent="0.2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3:20" ht="12.75" customHeight="1" x14ac:dyDescent="0.2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3:20" ht="12.75" customHeight="1" x14ac:dyDescent="0.2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3:20" ht="12.75" customHeight="1" x14ac:dyDescent="0.2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3:20" ht="12.75" customHeight="1" x14ac:dyDescent="0.2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3:20" ht="12.75" customHeight="1" x14ac:dyDescent="0.2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3:20" ht="12.75" customHeight="1" x14ac:dyDescent="0.2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3:20" ht="12.75" customHeight="1" x14ac:dyDescent="0.2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3:20" ht="12.75" customHeight="1" x14ac:dyDescent="0.2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3:20" ht="12.75" customHeight="1" x14ac:dyDescent="0.2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3:20" ht="12.75" customHeight="1" x14ac:dyDescent="0.2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3:20" ht="12.75" customHeight="1" x14ac:dyDescent="0.2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3:20" ht="12.75" customHeight="1" x14ac:dyDescent="0.2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3:20" ht="12.75" customHeight="1" x14ac:dyDescent="0.2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3:20" ht="12.75" customHeight="1" x14ac:dyDescent="0.2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3:20" ht="12.75" customHeight="1" x14ac:dyDescent="0.2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3:20" ht="12.75" customHeight="1" x14ac:dyDescent="0.2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3:20" ht="12.75" customHeight="1" x14ac:dyDescent="0.2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3:20" ht="12.75" customHeight="1" x14ac:dyDescent="0.2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3:20" ht="12.75" customHeight="1" x14ac:dyDescent="0.2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3:20" ht="12.75" customHeight="1" x14ac:dyDescent="0.2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3:20" ht="12.75" customHeight="1" x14ac:dyDescent="0.2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3:20" ht="12.75" customHeight="1" x14ac:dyDescent="0.2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3:20" ht="12.75" customHeight="1" x14ac:dyDescent="0.2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3:20" ht="12.75" customHeight="1" x14ac:dyDescent="0.2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3:20" ht="12.75" customHeight="1" x14ac:dyDescent="0.2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3:20" ht="12.75" customHeight="1" x14ac:dyDescent="0.2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3:20" ht="12.75" customHeight="1" x14ac:dyDescent="0.2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3:20" ht="12.75" customHeight="1" x14ac:dyDescent="0.2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3:20" ht="12.75" customHeight="1" x14ac:dyDescent="0.2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3:20" ht="12.75" customHeight="1" x14ac:dyDescent="0.2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3:20" ht="12.75" customHeight="1" x14ac:dyDescent="0.2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3:20" ht="12.75" customHeight="1" x14ac:dyDescent="0.2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3:20" ht="12.75" customHeight="1" x14ac:dyDescent="0.2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3:20" ht="12.75" customHeight="1" x14ac:dyDescent="0.2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3:20" ht="12.75" customHeight="1" x14ac:dyDescent="0.2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3:20" ht="12.75" customHeight="1" x14ac:dyDescent="0.2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3:20" ht="12.75" customHeight="1" x14ac:dyDescent="0.2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3:20" ht="12.75" customHeight="1" x14ac:dyDescent="0.2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3:20" ht="12.75" customHeight="1" x14ac:dyDescent="0.2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3:20" ht="12.75" customHeight="1" x14ac:dyDescent="0.2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3:20" ht="12.75" customHeight="1" x14ac:dyDescent="0.2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3:20" ht="12.75" customHeight="1" x14ac:dyDescent="0.2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3:20" ht="12.75" customHeight="1" x14ac:dyDescent="0.2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3:20" ht="12.75" customHeight="1" x14ac:dyDescent="0.2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3:20" ht="12.75" customHeight="1" x14ac:dyDescent="0.2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3:20" ht="12.75" customHeight="1" x14ac:dyDescent="0.2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3:20" ht="12.75" customHeight="1" x14ac:dyDescent="0.2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3:20" ht="12.75" customHeight="1" x14ac:dyDescent="0.2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3:20" ht="12.75" customHeight="1" x14ac:dyDescent="0.2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3:20" ht="12.75" customHeight="1" x14ac:dyDescent="0.2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3:20" ht="12.75" customHeight="1" x14ac:dyDescent="0.2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3:20" ht="12.75" customHeight="1" x14ac:dyDescent="0.2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3:20" ht="12.75" customHeight="1" x14ac:dyDescent="0.2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3:20" ht="12.75" customHeight="1" x14ac:dyDescent="0.2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3:20" ht="12.75" customHeight="1" x14ac:dyDescent="0.2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3:20" ht="12.75" customHeight="1" x14ac:dyDescent="0.2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3:20" ht="12.75" customHeight="1" x14ac:dyDescent="0.2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spans="3:20" ht="12.75" customHeight="1" x14ac:dyDescent="0.2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spans="3:20" ht="12.75" customHeight="1" x14ac:dyDescent="0.2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3:20" ht="12.75" customHeight="1" x14ac:dyDescent="0.2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3:20" ht="12.75" customHeight="1" x14ac:dyDescent="0.2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3:20" ht="12.75" customHeight="1" x14ac:dyDescent="0.2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spans="3:20" ht="12.75" customHeight="1" x14ac:dyDescent="0.2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spans="3:20" ht="12.75" customHeight="1" x14ac:dyDescent="0.2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spans="3:20" ht="12.75" customHeight="1" x14ac:dyDescent="0.2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spans="3:20" ht="12.75" customHeight="1" x14ac:dyDescent="0.2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3:20" ht="12.75" customHeight="1" x14ac:dyDescent="0.2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3:20" ht="12.75" customHeight="1" x14ac:dyDescent="0.2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3:20" ht="12.75" customHeight="1" x14ac:dyDescent="0.2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spans="3:20" ht="12.75" customHeight="1" x14ac:dyDescent="0.2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3:20" ht="12.75" customHeight="1" x14ac:dyDescent="0.2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3:20" ht="12.75" customHeight="1" x14ac:dyDescent="0.2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spans="3:20" ht="12.75" customHeight="1" x14ac:dyDescent="0.2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spans="3:20" ht="12.75" customHeight="1" x14ac:dyDescent="0.2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spans="3:20" ht="12.75" customHeight="1" x14ac:dyDescent="0.2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spans="3:20" ht="12.75" customHeight="1" x14ac:dyDescent="0.2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3:20" ht="12.75" customHeight="1" x14ac:dyDescent="0.2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spans="3:20" ht="12.75" customHeight="1" x14ac:dyDescent="0.2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spans="3:20" ht="12.75" customHeight="1" x14ac:dyDescent="0.2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spans="3:20" ht="12.75" customHeight="1" x14ac:dyDescent="0.2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spans="3:20" ht="12.75" customHeight="1" x14ac:dyDescent="0.2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spans="3:20" ht="12.75" customHeight="1" x14ac:dyDescent="0.2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spans="3:20" ht="12.75" customHeight="1" x14ac:dyDescent="0.2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spans="3:20" ht="12.75" customHeight="1" x14ac:dyDescent="0.2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spans="3:20" ht="12.75" customHeight="1" x14ac:dyDescent="0.2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spans="3:20" ht="12.75" customHeight="1" x14ac:dyDescent="0.2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3:20" ht="12.75" customHeight="1" x14ac:dyDescent="0.2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spans="3:20" ht="12.75" customHeight="1" x14ac:dyDescent="0.2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spans="3:20" ht="12.75" customHeight="1" x14ac:dyDescent="0.2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spans="3:20" ht="12.75" customHeight="1" x14ac:dyDescent="0.2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spans="3:20" ht="12.75" customHeight="1" x14ac:dyDescent="0.2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spans="3:20" ht="12.75" customHeight="1" x14ac:dyDescent="0.2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spans="3:20" ht="12.75" customHeight="1" x14ac:dyDescent="0.2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spans="3:20" ht="12.75" customHeight="1" x14ac:dyDescent="0.2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spans="3:20" ht="12.75" customHeight="1" x14ac:dyDescent="0.2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spans="3:20" ht="12.75" customHeight="1" x14ac:dyDescent="0.2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3:20" ht="12.75" customHeight="1" x14ac:dyDescent="0.2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3:20" ht="12.75" customHeight="1" x14ac:dyDescent="0.2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3:20" ht="12.75" customHeight="1" x14ac:dyDescent="0.2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spans="3:20" ht="12.75" customHeight="1" x14ac:dyDescent="0.2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spans="3:20" ht="12.75" customHeight="1" x14ac:dyDescent="0.2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spans="3:20" ht="12.75" customHeight="1" x14ac:dyDescent="0.2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spans="3:20" ht="12.75" customHeight="1" x14ac:dyDescent="0.2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spans="3:20" ht="12.75" customHeight="1" x14ac:dyDescent="0.2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spans="3:20" ht="12.75" customHeight="1" x14ac:dyDescent="0.2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spans="3:20" ht="12.75" customHeight="1" x14ac:dyDescent="0.2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spans="3:20" ht="12.75" customHeight="1" x14ac:dyDescent="0.2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spans="3:20" ht="12.75" customHeight="1" x14ac:dyDescent="0.2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spans="3:20" ht="12.75" customHeight="1" x14ac:dyDescent="0.2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3:20" ht="12.75" customHeight="1" x14ac:dyDescent="0.2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3:20" ht="12.75" customHeight="1" x14ac:dyDescent="0.2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spans="3:20" ht="12.75" customHeight="1" x14ac:dyDescent="0.2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spans="3:20" ht="12.75" customHeight="1" x14ac:dyDescent="0.2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3:20" ht="12.75" customHeight="1" x14ac:dyDescent="0.2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spans="3:20" ht="12.75" customHeight="1" x14ac:dyDescent="0.2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spans="3:20" ht="12.75" customHeight="1" x14ac:dyDescent="0.2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3:20" ht="12.75" customHeight="1" x14ac:dyDescent="0.2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spans="3:20" ht="12.75" customHeight="1" x14ac:dyDescent="0.2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spans="3:20" ht="12.75" customHeight="1" x14ac:dyDescent="0.2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3:20" ht="12.75" customHeight="1" x14ac:dyDescent="0.2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spans="3:20" ht="12.75" customHeight="1" x14ac:dyDescent="0.2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3:20" ht="12.75" customHeight="1" x14ac:dyDescent="0.2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spans="3:20" ht="12.75" customHeight="1" x14ac:dyDescent="0.2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3:20" ht="12.75" customHeight="1" x14ac:dyDescent="0.2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spans="3:20" ht="12.75" customHeight="1" x14ac:dyDescent="0.2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spans="3:20" ht="12.75" customHeight="1" x14ac:dyDescent="0.2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spans="3:20" ht="12.75" customHeight="1" x14ac:dyDescent="0.2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spans="3:20" ht="12.75" customHeight="1" x14ac:dyDescent="0.2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spans="3:20" ht="12.75" customHeight="1" x14ac:dyDescent="0.2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spans="3:20" ht="12.75" customHeight="1" x14ac:dyDescent="0.2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3:20" ht="12.75" customHeight="1" x14ac:dyDescent="0.2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spans="3:20" ht="12.75" customHeight="1" x14ac:dyDescent="0.2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3:20" ht="12.75" customHeight="1" x14ac:dyDescent="0.2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spans="3:20" ht="12.75" customHeight="1" x14ac:dyDescent="0.2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3:20" ht="12.75" customHeight="1" x14ac:dyDescent="0.2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spans="3:20" ht="12.75" customHeight="1" x14ac:dyDescent="0.2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spans="3:20" ht="12.75" customHeight="1" x14ac:dyDescent="0.2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spans="3:20" ht="12.75" customHeight="1" x14ac:dyDescent="0.2"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3:20" ht="12.75" customHeight="1" x14ac:dyDescent="0.2"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spans="3:20" ht="12.75" customHeight="1" x14ac:dyDescent="0.2"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3:20" ht="12.75" customHeight="1" x14ac:dyDescent="0.2"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spans="3:20" ht="12.75" customHeight="1" x14ac:dyDescent="0.2"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spans="3:20" ht="12.75" customHeight="1" x14ac:dyDescent="0.2"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spans="3:20" ht="12.75" customHeight="1" x14ac:dyDescent="0.2"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spans="3:20" ht="12.75" customHeight="1" x14ac:dyDescent="0.2"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spans="3:20" ht="12.75" customHeight="1" x14ac:dyDescent="0.2"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spans="3:20" ht="12.75" customHeight="1" x14ac:dyDescent="0.2"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spans="3:20" ht="12.75" customHeight="1" x14ac:dyDescent="0.2"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spans="3:20" ht="12.75" customHeight="1" x14ac:dyDescent="0.2"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spans="3:20" ht="12.75" customHeight="1" x14ac:dyDescent="0.2"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spans="3:20" ht="12.75" customHeight="1" x14ac:dyDescent="0.2"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spans="3:20" ht="12.75" customHeight="1" x14ac:dyDescent="0.2"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spans="3:20" ht="12.75" customHeight="1" x14ac:dyDescent="0.2"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spans="3:20" ht="12.75" customHeight="1" x14ac:dyDescent="0.2"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spans="3:20" ht="12.75" customHeight="1" x14ac:dyDescent="0.2"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spans="3:20" ht="12.75" customHeight="1" x14ac:dyDescent="0.2"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spans="3:20" ht="12.75" customHeight="1" x14ac:dyDescent="0.2"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spans="3:20" ht="12.75" customHeight="1" x14ac:dyDescent="0.2"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spans="3:20" ht="12.75" customHeight="1" x14ac:dyDescent="0.2"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spans="3:20" ht="12.75" customHeight="1" x14ac:dyDescent="0.2"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spans="3:20" ht="12.75" customHeight="1" x14ac:dyDescent="0.2"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spans="3:20" ht="12.75" customHeight="1" x14ac:dyDescent="0.2"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spans="3:20" ht="12.75" customHeight="1" x14ac:dyDescent="0.2"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spans="3:20" ht="12.75" customHeight="1" x14ac:dyDescent="0.2"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spans="3:20" ht="12.75" customHeight="1" x14ac:dyDescent="0.2"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spans="3:20" ht="12.75" customHeight="1" x14ac:dyDescent="0.2"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spans="3:20" ht="12.75" customHeight="1" x14ac:dyDescent="0.2"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spans="3:20" ht="12.75" customHeight="1" x14ac:dyDescent="0.2"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spans="3:20" ht="12.75" customHeight="1" x14ac:dyDescent="0.2"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spans="3:20" ht="12.75" customHeight="1" x14ac:dyDescent="0.2"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spans="3:20" ht="12.75" customHeight="1" x14ac:dyDescent="0.2"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spans="3:20" ht="12.75" customHeight="1" x14ac:dyDescent="0.2"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spans="3:20" ht="12.75" customHeight="1" x14ac:dyDescent="0.2"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spans="3:20" ht="12.75" customHeight="1" x14ac:dyDescent="0.2"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spans="3:20" ht="12.75" customHeight="1" x14ac:dyDescent="0.2"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spans="3:20" ht="12.75" customHeight="1" x14ac:dyDescent="0.2"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spans="3:20" ht="12.75" customHeight="1" x14ac:dyDescent="0.2"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spans="3:20" ht="12.75" customHeight="1" x14ac:dyDescent="0.2"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spans="3:20" ht="12.75" customHeight="1" x14ac:dyDescent="0.2"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spans="3:20" ht="12.75" customHeight="1" x14ac:dyDescent="0.2"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spans="3:20" ht="12.75" customHeight="1" x14ac:dyDescent="0.2"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spans="3:20" ht="12.75" customHeight="1" x14ac:dyDescent="0.2"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spans="3:20" ht="12.75" customHeight="1" x14ac:dyDescent="0.2"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spans="3:20" ht="12.75" customHeight="1" x14ac:dyDescent="0.2"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spans="3:20" ht="12.75" customHeight="1" x14ac:dyDescent="0.2"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spans="3:20" ht="12.75" customHeight="1" x14ac:dyDescent="0.2"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spans="3:20" ht="12.75" customHeight="1" x14ac:dyDescent="0.2"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spans="3:20" ht="12.75" customHeight="1" x14ac:dyDescent="0.2"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spans="3:20" ht="12.75" customHeight="1" x14ac:dyDescent="0.2"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spans="3:20" ht="12.75" customHeight="1" x14ac:dyDescent="0.2"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spans="3:20" ht="12.75" customHeight="1" x14ac:dyDescent="0.2"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spans="3:20" ht="12.75" customHeight="1" x14ac:dyDescent="0.2"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spans="3:20" ht="12.75" customHeight="1" x14ac:dyDescent="0.2"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spans="3:20" ht="12.75" customHeight="1" x14ac:dyDescent="0.2"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spans="3:20" ht="12.75" customHeight="1" x14ac:dyDescent="0.2"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spans="3:20" ht="12.75" customHeight="1" x14ac:dyDescent="0.2"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spans="3:20" ht="12.75" customHeight="1" x14ac:dyDescent="0.2"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spans="3:20" ht="12.75" customHeight="1" x14ac:dyDescent="0.2"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spans="3:20" ht="12.75" customHeight="1" x14ac:dyDescent="0.2"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spans="3:20" ht="12.75" customHeight="1" x14ac:dyDescent="0.2"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spans="3:20" ht="12.75" customHeight="1" x14ac:dyDescent="0.2"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spans="3:20" ht="12.75" customHeight="1" x14ac:dyDescent="0.2"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spans="3:20" ht="12.75" customHeight="1" x14ac:dyDescent="0.2"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spans="3:20" ht="12.75" customHeight="1" x14ac:dyDescent="0.2"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spans="3:20" ht="12.75" customHeight="1" x14ac:dyDescent="0.2"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spans="3:20" ht="12.75" customHeight="1" x14ac:dyDescent="0.2"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spans="3:20" ht="12.75" customHeight="1" x14ac:dyDescent="0.2"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spans="3:20" ht="12.75" customHeight="1" x14ac:dyDescent="0.2"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spans="3:20" ht="12.75" customHeight="1" x14ac:dyDescent="0.2"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spans="3:20" ht="12.75" customHeight="1" x14ac:dyDescent="0.2"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spans="3:20" ht="12.75" customHeight="1" x14ac:dyDescent="0.2"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spans="3:20" ht="12.75" customHeight="1" x14ac:dyDescent="0.2"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spans="3:20" ht="12.75" customHeight="1" x14ac:dyDescent="0.2"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spans="3:20" ht="12.75" customHeight="1" x14ac:dyDescent="0.2"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3:20" ht="12.75" customHeight="1" x14ac:dyDescent="0.2"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spans="3:20" ht="12.75" customHeight="1" x14ac:dyDescent="0.2"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spans="3:20" ht="12.75" customHeight="1" x14ac:dyDescent="0.2"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spans="3:20" ht="12.75" customHeight="1" x14ac:dyDescent="0.2"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spans="3:20" ht="12.75" customHeight="1" x14ac:dyDescent="0.2"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spans="3:20" ht="12.75" customHeight="1" x14ac:dyDescent="0.2"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spans="3:20" ht="12.75" customHeight="1" x14ac:dyDescent="0.2"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spans="3:20" ht="12.75" customHeight="1" x14ac:dyDescent="0.2"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spans="3:20" ht="12.75" customHeight="1" x14ac:dyDescent="0.2"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spans="3:20" ht="12.75" customHeight="1" x14ac:dyDescent="0.2"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spans="3:20" ht="12.75" customHeight="1" x14ac:dyDescent="0.2"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spans="3:20" ht="12.75" customHeight="1" x14ac:dyDescent="0.2"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spans="3:20" ht="12.75" customHeight="1" x14ac:dyDescent="0.2"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spans="3:20" ht="12.75" customHeight="1" x14ac:dyDescent="0.2"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spans="3:20" ht="12.75" customHeight="1" x14ac:dyDescent="0.2"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spans="3:20" ht="12.75" customHeight="1" x14ac:dyDescent="0.2"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spans="3:20" ht="12.75" customHeight="1" x14ac:dyDescent="0.2"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spans="3:20" ht="12.75" customHeight="1" x14ac:dyDescent="0.2"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spans="3:20" ht="12.75" customHeight="1" x14ac:dyDescent="0.2"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spans="3:20" ht="12.75" customHeight="1" x14ac:dyDescent="0.2"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spans="3:20" ht="12.75" customHeight="1" x14ac:dyDescent="0.2"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spans="3:20" ht="12.75" customHeight="1" x14ac:dyDescent="0.2"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spans="3:20" ht="12.75" customHeight="1" x14ac:dyDescent="0.2"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spans="3:20" ht="12.75" customHeight="1" x14ac:dyDescent="0.2"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spans="3:20" ht="12.75" customHeight="1" x14ac:dyDescent="0.2"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spans="3:20" ht="12.75" customHeight="1" x14ac:dyDescent="0.2"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spans="3:20" ht="12.75" customHeight="1" x14ac:dyDescent="0.2"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spans="3:20" ht="12.75" customHeight="1" x14ac:dyDescent="0.2"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3:20" ht="12.75" customHeight="1" x14ac:dyDescent="0.2"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3:20" ht="12.75" customHeight="1" x14ac:dyDescent="0.2"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3:20" ht="12.75" customHeight="1" x14ac:dyDescent="0.2"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3:20" ht="12.75" customHeight="1" x14ac:dyDescent="0.2"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3:20" ht="12.75" customHeight="1" x14ac:dyDescent="0.2"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3:20" ht="12.75" customHeight="1" x14ac:dyDescent="0.2"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3:20" ht="12.75" customHeight="1" x14ac:dyDescent="0.2"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3:20" ht="12.75" customHeight="1" x14ac:dyDescent="0.2"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3:20" ht="12.75" customHeight="1" x14ac:dyDescent="0.2"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3:20" ht="12.75" customHeight="1" x14ac:dyDescent="0.2"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3:20" ht="12.75" customHeight="1" x14ac:dyDescent="0.2"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spans="3:20" ht="12.75" customHeight="1" x14ac:dyDescent="0.2"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3:20" ht="12.75" customHeight="1" x14ac:dyDescent="0.2"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3:20" ht="12.75" customHeight="1" x14ac:dyDescent="0.2"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3:20" ht="12.75" customHeight="1" x14ac:dyDescent="0.2"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3:20" ht="12.75" customHeight="1" x14ac:dyDescent="0.2"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3:20" ht="12.75" customHeight="1" x14ac:dyDescent="0.2"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3:20" ht="12.75" customHeight="1" x14ac:dyDescent="0.2"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3:20" ht="12.75" customHeight="1" x14ac:dyDescent="0.2"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3:20" ht="12.75" customHeight="1" x14ac:dyDescent="0.2"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3:20" ht="12.75" customHeight="1" x14ac:dyDescent="0.2"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3:20" ht="12.75" customHeight="1" x14ac:dyDescent="0.2"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3:20" ht="12.75" customHeight="1" x14ac:dyDescent="0.2"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3:20" ht="12.75" customHeight="1" x14ac:dyDescent="0.2"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3:20" ht="12.75" customHeight="1" x14ac:dyDescent="0.2"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3:20" ht="12.75" customHeight="1" x14ac:dyDescent="0.2"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3:20" ht="12.75" customHeight="1" x14ac:dyDescent="0.2"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3:20" ht="12.75" customHeight="1" x14ac:dyDescent="0.2"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3:20" ht="12.75" customHeight="1" x14ac:dyDescent="0.2"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3:20" ht="12.75" customHeight="1" x14ac:dyDescent="0.2"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3:20" ht="12.75" customHeight="1" x14ac:dyDescent="0.2"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3:20" ht="12.75" customHeight="1" x14ac:dyDescent="0.2"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3:20" ht="12.75" customHeight="1" x14ac:dyDescent="0.2"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3:20" ht="12.75" customHeight="1" x14ac:dyDescent="0.2"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3:20" ht="12.75" customHeight="1" x14ac:dyDescent="0.2"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3:20" ht="12.75" customHeight="1" x14ac:dyDescent="0.2"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3:20" ht="12.75" customHeight="1" x14ac:dyDescent="0.2"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3:20" ht="12.75" customHeight="1" x14ac:dyDescent="0.2"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3:20" ht="12.75" customHeight="1" x14ac:dyDescent="0.2"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3:20" ht="12.75" customHeight="1" x14ac:dyDescent="0.2"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3:20" ht="12.75" customHeight="1" x14ac:dyDescent="0.2"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3:20" ht="12.75" customHeight="1" x14ac:dyDescent="0.2"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3:20" ht="12.75" customHeight="1" x14ac:dyDescent="0.2"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3:20" ht="12.75" customHeight="1" x14ac:dyDescent="0.2"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3:20" ht="12.75" customHeight="1" x14ac:dyDescent="0.2"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3:20" ht="12.75" customHeight="1" x14ac:dyDescent="0.2"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3:20" ht="12.75" customHeight="1" x14ac:dyDescent="0.2"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3:20" ht="12.75" customHeight="1" x14ac:dyDescent="0.2"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3:20" ht="12.75" customHeight="1" x14ac:dyDescent="0.2"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3:20" ht="12.75" customHeight="1" x14ac:dyDescent="0.2"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3:20" ht="12.75" customHeight="1" x14ac:dyDescent="0.2"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3:20" ht="12.75" customHeight="1" x14ac:dyDescent="0.2"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3:20" ht="12.75" customHeight="1" x14ac:dyDescent="0.2"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3:20" ht="12.75" customHeight="1" x14ac:dyDescent="0.2"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3:20" ht="12.75" customHeight="1" x14ac:dyDescent="0.2"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3:20" ht="12.75" customHeight="1" x14ac:dyDescent="0.2"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3:20" ht="12.75" customHeight="1" x14ac:dyDescent="0.2"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3:20" ht="12.75" customHeight="1" x14ac:dyDescent="0.2"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3:20" ht="12.75" customHeight="1" x14ac:dyDescent="0.2"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3:20" ht="12.75" customHeight="1" x14ac:dyDescent="0.2"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3:20" ht="12.75" customHeight="1" x14ac:dyDescent="0.2"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3:20" ht="12.75" customHeight="1" x14ac:dyDescent="0.2"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3:20" ht="12.75" customHeight="1" x14ac:dyDescent="0.2"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3:20" ht="12.75" customHeight="1" x14ac:dyDescent="0.2"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3:20" ht="12.75" customHeight="1" x14ac:dyDescent="0.2"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3:20" ht="12.75" customHeight="1" x14ac:dyDescent="0.2"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3:20" ht="12.75" customHeight="1" x14ac:dyDescent="0.2"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3:20" ht="12.75" customHeight="1" x14ac:dyDescent="0.2"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3:20" ht="12.75" customHeight="1" x14ac:dyDescent="0.2"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3:20" ht="12.75" customHeight="1" x14ac:dyDescent="0.2"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3:20" ht="12.75" customHeight="1" x14ac:dyDescent="0.2"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3:20" ht="12.75" customHeight="1" x14ac:dyDescent="0.2"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3:20" ht="12.75" customHeight="1" x14ac:dyDescent="0.2"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3:20" ht="12.75" customHeight="1" x14ac:dyDescent="0.2"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3:20" ht="12.75" customHeight="1" x14ac:dyDescent="0.2"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3:20" ht="12.75" customHeight="1" x14ac:dyDescent="0.2"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3:20" ht="12.75" customHeight="1" x14ac:dyDescent="0.2"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3:20" ht="12.75" customHeight="1" x14ac:dyDescent="0.2"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3:20" ht="12.75" customHeight="1" x14ac:dyDescent="0.2"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3:20" ht="12.75" customHeight="1" x14ac:dyDescent="0.2"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3:20" ht="12.75" customHeight="1" x14ac:dyDescent="0.2"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3:20" ht="12.75" customHeight="1" x14ac:dyDescent="0.2"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3:20" ht="12.75" customHeight="1" x14ac:dyDescent="0.2"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3:20" ht="12.75" customHeight="1" x14ac:dyDescent="0.2"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3:20" ht="12.75" customHeight="1" x14ac:dyDescent="0.2"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3:20" ht="12.75" customHeight="1" x14ac:dyDescent="0.2"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3:20" ht="12.75" customHeight="1" x14ac:dyDescent="0.2"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3:20" ht="12.75" customHeight="1" x14ac:dyDescent="0.2"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3:20" ht="12.75" customHeight="1" x14ac:dyDescent="0.2"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3:20" ht="12.75" customHeight="1" x14ac:dyDescent="0.2"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3:20" ht="12.75" customHeight="1" x14ac:dyDescent="0.2"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3:20" ht="12.75" customHeight="1" x14ac:dyDescent="0.2"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3:20" ht="12.75" customHeight="1" x14ac:dyDescent="0.2"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3:20" ht="12.75" customHeight="1" x14ac:dyDescent="0.2"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3:20" ht="12.75" customHeight="1" x14ac:dyDescent="0.2"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3:20" ht="12.75" customHeight="1" x14ac:dyDescent="0.2"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3:20" ht="12.75" customHeight="1" x14ac:dyDescent="0.2"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3:20" ht="12.75" customHeight="1" x14ac:dyDescent="0.2"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3:20" ht="12.75" customHeight="1" x14ac:dyDescent="0.2"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3:20" ht="12.75" customHeight="1" x14ac:dyDescent="0.2"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3:20" ht="12.75" customHeight="1" x14ac:dyDescent="0.2"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3:20" ht="12.75" customHeight="1" x14ac:dyDescent="0.2"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3:20" ht="12.75" customHeight="1" x14ac:dyDescent="0.2"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3:20" ht="12.75" customHeight="1" x14ac:dyDescent="0.2"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3:20" ht="12.75" customHeight="1" x14ac:dyDescent="0.2"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3:20" ht="12.75" customHeight="1" x14ac:dyDescent="0.2"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3:20" ht="12.75" customHeight="1" x14ac:dyDescent="0.2"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3:20" ht="12.75" customHeight="1" x14ac:dyDescent="0.2"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3:20" ht="12.75" customHeight="1" x14ac:dyDescent="0.2"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3:20" ht="12.75" customHeight="1" x14ac:dyDescent="0.2"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3:20" ht="12.75" customHeight="1" x14ac:dyDescent="0.2"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3:20" ht="12.75" customHeight="1" x14ac:dyDescent="0.2"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3:20" ht="12.75" customHeight="1" x14ac:dyDescent="0.2"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3:20" ht="12.75" customHeight="1" x14ac:dyDescent="0.2"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3:20" ht="12.75" customHeight="1" x14ac:dyDescent="0.2"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3:20" ht="12.75" customHeight="1" x14ac:dyDescent="0.2"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3:20" ht="12.75" customHeight="1" x14ac:dyDescent="0.2"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3:20" ht="12.75" customHeight="1" x14ac:dyDescent="0.2"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3:20" ht="12.75" customHeight="1" x14ac:dyDescent="0.2"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3:20" ht="12.75" customHeight="1" x14ac:dyDescent="0.2"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3:20" ht="12.75" customHeight="1" x14ac:dyDescent="0.2"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3:20" ht="12.75" customHeight="1" x14ac:dyDescent="0.2"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3:20" ht="12.75" customHeight="1" x14ac:dyDescent="0.2"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3:20" ht="12.75" customHeight="1" x14ac:dyDescent="0.2"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3:20" ht="12.75" customHeight="1" x14ac:dyDescent="0.2"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3:20" ht="12.75" customHeight="1" x14ac:dyDescent="0.2"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3:20" ht="12.75" customHeight="1" x14ac:dyDescent="0.2"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3:20" ht="12.75" customHeight="1" x14ac:dyDescent="0.2"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3:20" ht="12.75" customHeight="1" x14ac:dyDescent="0.2"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3:20" ht="12.75" customHeight="1" x14ac:dyDescent="0.2"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3:20" ht="12.75" customHeight="1" x14ac:dyDescent="0.2"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3:20" ht="12.75" customHeight="1" x14ac:dyDescent="0.2"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3:20" ht="12.75" customHeight="1" x14ac:dyDescent="0.2"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3:20" ht="12.75" customHeight="1" x14ac:dyDescent="0.2"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3:20" ht="12.75" customHeight="1" x14ac:dyDescent="0.2"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3:20" ht="12.75" customHeight="1" x14ac:dyDescent="0.2"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3:20" ht="12.75" customHeight="1" x14ac:dyDescent="0.2"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3:20" ht="12.75" customHeight="1" x14ac:dyDescent="0.2"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3:20" ht="12.75" customHeight="1" x14ac:dyDescent="0.2"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3:20" ht="12.75" customHeight="1" x14ac:dyDescent="0.2"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3:20" ht="12.75" customHeight="1" x14ac:dyDescent="0.2"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3:20" ht="12.75" customHeight="1" x14ac:dyDescent="0.2"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3:20" ht="12.75" customHeight="1" x14ac:dyDescent="0.2"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3:20" ht="12.75" customHeight="1" x14ac:dyDescent="0.2"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3:20" ht="12.75" customHeight="1" x14ac:dyDescent="0.2"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3:20" ht="12.75" customHeight="1" x14ac:dyDescent="0.2"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3:20" ht="12.75" customHeight="1" x14ac:dyDescent="0.2"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3:20" ht="12.75" customHeight="1" x14ac:dyDescent="0.2"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3:20" ht="12.75" customHeight="1" x14ac:dyDescent="0.2"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3:20" ht="12.75" customHeight="1" x14ac:dyDescent="0.2"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3:20" ht="12.75" customHeight="1" x14ac:dyDescent="0.2"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3:20" ht="12.75" customHeight="1" x14ac:dyDescent="0.2"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3:20" ht="12.75" customHeight="1" x14ac:dyDescent="0.2"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3:20" ht="12.75" customHeight="1" x14ac:dyDescent="0.2"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3:20" ht="12.75" customHeight="1" x14ac:dyDescent="0.2"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3:20" ht="12.75" customHeight="1" x14ac:dyDescent="0.2"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3:20" ht="12.75" customHeight="1" x14ac:dyDescent="0.2"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3:20" ht="12.75" customHeight="1" x14ac:dyDescent="0.2"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3:20" ht="12.75" customHeight="1" x14ac:dyDescent="0.2"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3:20" ht="12.75" customHeight="1" x14ac:dyDescent="0.2"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3:20" ht="12.75" customHeight="1" x14ac:dyDescent="0.2"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3:20" ht="12.75" customHeight="1" x14ac:dyDescent="0.2"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3:20" ht="12.75" customHeight="1" x14ac:dyDescent="0.2"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3:20" ht="12.75" customHeight="1" x14ac:dyDescent="0.2"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3:20" ht="12.75" customHeight="1" x14ac:dyDescent="0.2"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3:20" ht="12.75" customHeight="1" x14ac:dyDescent="0.2"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3:20" ht="12.75" customHeight="1" x14ac:dyDescent="0.2"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3:20" ht="12.75" customHeight="1" x14ac:dyDescent="0.2"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3:20" ht="12.75" customHeight="1" x14ac:dyDescent="0.2"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3:20" ht="12.75" customHeight="1" x14ac:dyDescent="0.2"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3:20" ht="12.75" customHeight="1" x14ac:dyDescent="0.2"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3:20" ht="12.75" customHeight="1" x14ac:dyDescent="0.2"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3:20" ht="12.75" customHeight="1" x14ac:dyDescent="0.2"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3:20" ht="12.75" customHeight="1" x14ac:dyDescent="0.2"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3:20" ht="12.75" customHeight="1" x14ac:dyDescent="0.2"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3:20" ht="12.75" customHeight="1" x14ac:dyDescent="0.2"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3:20" ht="12.75" customHeight="1" x14ac:dyDescent="0.2"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3:20" ht="12.75" customHeight="1" x14ac:dyDescent="0.2"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3:20" ht="12.75" customHeight="1" x14ac:dyDescent="0.2"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3:20" ht="12.75" customHeight="1" x14ac:dyDescent="0.2"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3:20" ht="12.75" customHeight="1" x14ac:dyDescent="0.2"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3:20" ht="12.75" customHeight="1" x14ac:dyDescent="0.2"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3:20" ht="12.75" customHeight="1" x14ac:dyDescent="0.2"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3:20" ht="12.75" customHeight="1" x14ac:dyDescent="0.2"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3:20" ht="12.75" customHeight="1" x14ac:dyDescent="0.2"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3:20" ht="12.75" customHeight="1" x14ac:dyDescent="0.2"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3:20" ht="12.75" customHeight="1" x14ac:dyDescent="0.2"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3:20" ht="12.75" customHeight="1" x14ac:dyDescent="0.2"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3:20" ht="12.75" customHeight="1" x14ac:dyDescent="0.2"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3:20" ht="12.75" customHeight="1" x14ac:dyDescent="0.2"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3:20" ht="12.75" customHeight="1" x14ac:dyDescent="0.2"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3:20" ht="12.75" customHeight="1" x14ac:dyDescent="0.2"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3:20" ht="12.75" customHeight="1" x14ac:dyDescent="0.2"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3:20" ht="12.75" customHeight="1" x14ac:dyDescent="0.2"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3:20" ht="12.75" customHeight="1" x14ac:dyDescent="0.2"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3:20" ht="12.75" customHeight="1" x14ac:dyDescent="0.2"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3:20" ht="12.75" customHeight="1" x14ac:dyDescent="0.2"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3:20" ht="12.75" customHeight="1" x14ac:dyDescent="0.2"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3:20" ht="12.75" customHeight="1" x14ac:dyDescent="0.2"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3:20" ht="12.75" customHeight="1" x14ac:dyDescent="0.2"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3:20" ht="12.75" customHeight="1" x14ac:dyDescent="0.2"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3:20" ht="12.75" customHeight="1" x14ac:dyDescent="0.2"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3:20" ht="12.75" customHeight="1" x14ac:dyDescent="0.2"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3:20" ht="12.75" customHeight="1" x14ac:dyDescent="0.2"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3:20" ht="12.75" customHeight="1" x14ac:dyDescent="0.2"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3:20" ht="12.75" customHeight="1" x14ac:dyDescent="0.2"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3:20" ht="12.75" customHeight="1" x14ac:dyDescent="0.2"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3:20" ht="12.75" customHeight="1" x14ac:dyDescent="0.2"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3:20" ht="12.75" customHeight="1" x14ac:dyDescent="0.2"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3:20" ht="12.75" customHeight="1" x14ac:dyDescent="0.2"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3:20" ht="12.75" customHeight="1" x14ac:dyDescent="0.2"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3:20" ht="12.75" customHeight="1" x14ac:dyDescent="0.2"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3:20" ht="12.75" customHeight="1" x14ac:dyDescent="0.2"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3:20" ht="12.75" customHeight="1" x14ac:dyDescent="0.2"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3:20" ht="12.75" customHeight="1" x14ac:dyDescent="0.2"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3:20" ht="12.75" customHeight="1" x14ac:dyDescent="0.2"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3:20" ht="12.75" customHeight="1" x14ac:dyDescent="0.2"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3:20" ht="12.75" customHeight="1" x14ac:dyDescent="0.2"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3:20" ht="12.75" customHeight="1" x14ac:dyDescent="0.2"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3:20" ht="12.75" customHeight="1" x14ac:dyDescent="0.2"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3:20" ht="12.75" customHeight="1" x14ac:dyDescent="0.2"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3:20" ht="12.75" customHeight="1" x14ac:dyDescent="0.2"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3:20" ht="12.75" customHeight="1" x14ac:dyDescent="0.2"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3:20" ht="12.75" customHeight="1" x14ac:dyDescent="0.2"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3:20" ht="12.75" customHeight="1" x14ac:dyDescent="0.2"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3:20" ht="12.75" customHeight="1" x14ac:dyDescent="0.2"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3:20" ht="12.75" customHeight="1" x14ac:dyDescent="0.2"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3:20" ht="12.75" customHeight="1" x14ac:dyDescent="0.2"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3:20" ht="12.75" customHeight="1" x14ac:dyDescent="0.2"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3:20" ht="12.75" customHeight="1" x14ac:dyDescent="0.2"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3:20" ht="12.75" customHeight="1" x14ac:dyDescent="0.2"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3:20" ht="12.75" customHeight="1" x14ac:dyDescent="0.2"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3:20" ht="12.75" customHeight="1" x14ac:dyDescent="0.2"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3:20" ht="12.75" customHeight="1" x14ac:dyDescent="0.2"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3:20" ht="12.75" customHeight="1" x14ac:dyDescent="0.2"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3:20" ht="12.75" customHeight="1" x14ac:dyDescent="0.2"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3:20" ht="12.75" customHeight="1" x14ac:dyDescent="0.2"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3:20" ht="12.75" customHeight="1" x14ac:dyDescent="0.2"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3:20" ht="12.75" customHeight="1" x14ac:dyDescent="0.2"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3:20" ht="12.75" customHeight="1" x14ac:dyDescent="0.2"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3:20" ht="12.75" customHeight="1" x14ac:dyDescent="0.2"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3:20" ht="12.75" customHeight="1" x14ac:dyDescent="0.2"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3:20" ht="12.75" customHeight="1" x14ac:dyDescent="0.2"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3:20" ht="12.75" customHeight="1" x14ac:dyDescent="0.2"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3:20" ht="12.75" customHeight="1" x14ac:dyDescent="0.2"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3:20" ht="12.75" customHeight="1" x14ac:dyDescent="0.2"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3:20" ht="12.75" customHeight="1" x14ac:dyDescent="0.2"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3:20" ht="12.75" customHeight="1" x14ac:dyDescent="0.2"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3:20" ht="12.75" customHeight="1" x14ac:dyDescent="0.2"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3:20" ht="12.75" customHeight="1" x14ac:dyDescent="0.2"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3:20" ht="12.75" customHeight="1" x14ac:dyDescent="0.2"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3:20" ht="12.75" customHeight="1" x14ac:dyDescent="0.2"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3:20" ht="12.75" customHeight="1" x14ac:dyDescent="0.2"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3:20" ht="12.75" customHeight="1" x14ac:dyDescent="0.2"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3:20" ht="12.75" customHeight="1" x14ac:dyDescent="0.2"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3:20" ht="12.75" customHeight="1" x14ac:dyDescent="0.2"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3:20" ht="12.75" customHeight="1" x14ac:dyDescent="0.2"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3:20" ht="12.75" customHeight="1" x14ac:dyDescent="0.2"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3:20" ht="12.75" customHeight="1" x14ac:dyDescent="0.2"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3:20" ht="12.75" customHeight="1" x14ac:dyDescent="0.2"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3:20" ht="12.75" customHeight="1" x14ac:dyDescent="0.2"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3:20" ht="12.75" customHeight="1" x14ac:dyDescent="0.2"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3:20" ht="12.75" customHeight="1" x14ac:dyDescent="0.2"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3:20" ht="12.75" customHeight="1" x14ac:dyDescent="0.2"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3:20" ht="12.75" customHeight="1" x14ac:dyDescent="0.2"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3:20" ht="12.75" customHeight="1" x14ac:dyDescent="0.2"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3:20" ht="12.75" customHeight="1" x14ac:dyDescent="0.2"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3:20" ht="12.75" customHeight="1" x14ac:dyDescent="0.2"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3:20" ht="12.75" customHeight="1" x14ac:dyDescent="0.2"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3:20" ht="12.75" customHeight="1" x14ac:dyDescent="0.2"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3:20" ht="12.75" customHeight="1" x14ac:dyDescent="0.2"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3:20" ht="12.75" customHeight="1" x14ac:dyDescent="0.2"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3:20" ht="12.75" customHeight="1" x14ac:dyDescent="0.2"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3:20" ht="12.75" customHeight="1" x14ac:dyDescent="0.2"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3:20" ht="12.75" customHeight="1" x14ac:dyDescent="0.2"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3:20" ht="12.75" customHeight="1" x14ac:dyDescent="0.2"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3:20" ht="12.75" customHeight="1" x14ac:dyDescent="0.2"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3:20" ht="12.75" customHeight="1" x14ac:dyDescent="0.2"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3:20" ht="12.75" customHeight="1" x14ac:dyDescent="0.2"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3:20" ht="12.75" customHeight="1" x14ac:dyDescent="0.2"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3:20" ht="12.75" customHeight="1" x14ac:dyDescent="0.2"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3:20" ht="12.75" customHeight="1" x14ac:dyDescent="0.2"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3:20" ht="12.75" customHeight="1" x14ac:dyDescent="0.2"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3:20" ht="12.75" customHeight="1" x14ac:dyDescent="0.2"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3:20" ht="12.75" customHeight="1" x14ac:dyDescent="0.2"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3:20" ht="12.75" customHeight="1" x14ac:dyDescent="0.2"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3:20" ht="12.75" customHeight="1" x14ac:dyDescent="0.2"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3:20" ht="12.75" customHeight="1" x14ac:dyDescent="0.2"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3:20" ht="12.75" customHeight="1" x14ac:dyDescent="0.2"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3:20" ht="12.75" customHeight="1" x14ac:dyDescent="0.2"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3:20" ht="12.75" customHeight="1" x14ac:dyDescent="0.2"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3:20" ht="12.75" customHeight="1" x14ac:dyDescent="0.2"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3:20" ht="12.75" customHeight="1" x14ac:dyDescent="0.2"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3:20" ht="12.75" customHeight="1" x14ac:dyDescent="0.2"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3:20" ht="12.75" customHeight="1" x14ac:dyDescent="0.2"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3:20" ht="12.75" customHeight="1" x14ac:dyDescent="0.2"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3:20" ht="12.75" customHeight="1" x14ac:dyDescent="0.2"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3:20" ht="12.75" customHeight="1" x14ac:dyDescent="0.2"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3:20" ht="12.75" customHeight="1" x14ac:dyDescent="0.2"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3:20" ht="12.75" customHeight="1" x14ac:dyDescent="0.2"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3:20" ht="12.75" customHeight="1" x14ac:dyDescent="0.2"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3:20" ht="12.75" customHeight="1" x14ac:dyDescent="0.2"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3:20" ht="12.75" customHeight="1" x14ac:dyDescent="0.2"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3:20" ht="12.75" customHeight="1" x14ac:dyDescent="0.2"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3:20" ht="12.75" customHeight="1" x14ac:dyDescent="0.2"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3:20" ht="12.75" customHeight="1" x14ac:dyDescent="0.2"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3:20" ht="12.75" customHeight="1" x14ac:dyDescent="0.2"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3:20" ht="12.75" customHeight="1" x14ac:dyDescent="0.2"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3:20" ht="12.75" customHeight="1" x14ac:dyDescent="0.2"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3:20" ht="12.75" customHeight="1" x14ac:dyDescent="0.2"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3:20" ht="12.75" customHeight="1" x14ac:dyDescent="0.2"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3:20" ht="12.75" customHeight="1" x14ac:dyDescent="0.2"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3:20" ht="12.75" customHeight="1" x14ac:dyDescent="0.2"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3:20" ht="12.75" customHeight="1" x14ac:dyDescent="0.2"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3:20" ht="12.75" customHeight="1" x14ac:dyDescent="0.2"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3:20" ht="12.75" customHeight="1" x14ac:dyDescent="0.2"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3:20" ht="12.75" customHeight="1" x14ac:dyDescent="0.2"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3:20" ht="12.75" customHeight="1" x14ac:dyDescent="0.2"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3:20" ht="12.75" customHeight="1" x14ac:dyDescent="0.2"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3:20" ht="12.75" customHeight="1" x14ac:dyDescent="0.2"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3:20" ht="12.75" customHeight="1" x14ac:dyDescent="0.2"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3:20" ht="12.75" customHeight="1" x14ac:dyDescent="0.2"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3:20" ht="12.75" customHeight="1" x14ac:dyDescent="0.2"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3:20" ht="12.75" customHeight="1" x14ac:dyDescent="0.2"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3:20" ht="12.75" customHeight="1" x14ac:dyDescent="0.2"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3:20" ht="12.75" customHeight="1" x14ac:dyDescent="0.2"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3:20" ht="12.75" customHeight="1" x14ac:dyDescent="0.2"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3:20" ht="12.75" customHeight="1" x14ac:dyDescent="0.2"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3:20" ht="12.75" customHeight="1" x14ac:dyDescent="0.2"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3:20" ht="12.75" customHeight="1" x14ac:dyDescent="0.2"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spans="3:20" ht="12.75" customHeight="1" x14ac:dyDescent="0.2"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3:20" ht="12.75" customHeight="1" x14ac:dyDescent="0.2"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3:20" ht="12.75" customHeight="1" x14ac:dyDescent="0.2"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3:20" ht="12.75" customHeight="1" x14ac:dyDescent="0.2"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3:20" ht="12.75" customHeight="1" x14ac:dyDescent="0.2"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3:20" ht="12.75" customHeight="1" x14ac:dyDescent="0.2"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3:20" ht="12.75" customHeight="1" x14ac:dyDescent="0.2"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3:20" ht="12.75" customHeight="1" x14ac:dyDescent="0.2"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3:20" ht="12.75" customHeight="1" x14ac:dyDescent="0.2"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3:20" ht="12.75" customHeight="1" x14ac:dyDescent="0.2"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3:20" ht="12.75" customHeight="1" x14ac:dyDescent="0.2"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3:20" ht="12.75" customHeight="1" x14ac:dyDescent="0.2"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3:20" ht="12.75" customHeight="1" x14ac:dyDescent="0.2"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3:20" ht="12.75" customHeight="1" x14ac:dyDescent="0.2"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3:20" ht="12.75" customHeight="1" x14ac:dyDescent="0.2"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3:20" ht="12.75" customHeight="1" x14ac:dyDescent="0.2"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3:20" ht="12.75" customHeight="1" x14ac:dyDescent="0.2"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3:20" ht="12.75" customHeight="1" x14ac:dyDescent="0.2"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3:20" ht="12.75" customHeight="1" x14ac:dyDescent="0.2"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3:20" ht="12.75" customHeight="1" x14ac:dyDescent="0.2"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3:20" ht="12.75" customHeight="1" x14ac:dyDescent="0.2"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3:20" ht="12.75" customHeight="1" x14ac:dyDescent="0.2"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3:20" ht="12.75" customHeight="1" x14ac:dyDescent="0.2"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3:20" ht="12.75" customHeight="1" x14ac:dyDescent="0.2"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3:20" ht="12.75" customHeight="1" x14ac:dyDescent="0.2"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3:20" ht="12.75" customHeight="1" x14ac:dyDescent="0.2"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3:20" ht="12.75" customHeight="1" x14ac:dyDescent="0.2"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3:20" ht="12.75" customHeight="1" x14ac:dyDescent="0.2"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3:20" ht="12.75" customHeight="1" x14ac:dyDescent="0.2"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spans="3:20" ht="12.75" customHeight="1" x14ac:dyDescent="0.2"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3:20" ht="12.75" customHeight="1" x14ac:dyDescent="0.2"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3:20" ht="12.75" customHeight="1" x14ac:dyDescent="0.2"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3:20" ht="12.75" customHeight="1" x14ac:dyDescent="0.2"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3:20" ht="12.75" customHeight="1" x14ac:dyDescent="0.2"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3:20" ht="12.75" customHeight="1" x14ac:dyDescent="0.2"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3:20" ht="12.75" customHeight="1" x14ac:dyDescent="0.2"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3:20" ht="12.75" customHeight="1" x14ac:dyDescent="0.2"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3:20" ht="12.75" customHeight="1" x14ac:dyDescent="0.2"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3:20" ht="12.75" customHeight="1" x14ac:dyDescent="0.2"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3:20" ht="12.75" customHeight="1" x14ac:dyDescent="0.2"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3:20" ht="12.75" customHeight="1" x14ac:dyDescent="0.2"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3:20" ht="12.75" customHeight="1" x14ac:dyDescent="0.2"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3:20" ht="12.75" customHeight="1" x14ac:dyDescent="0.2"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3:20" ht="12.75" customHeight="1" x14ac:dyDescent="0.2"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3:20" ht="12.75" customHeight="1" x14ac:dyDescent="0.2"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3:20" ht="12.75" customHeight="1" x14ac:dyDescent="0.2"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3:20" ht="12.75" customHeight="1" x14ac:dyDescent="0.2"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3:20" ht="12.75" customHeight="1" x14ac:dyDescent="0.2"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3:20" ht="12.75" customHeight="1" x14ac:dyDescent="0.2"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3:20" ht="12.75" customHeight="1" x14ac:dyDescent="0.2"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3:20" ht="12.75" customHeight="1" x14ac:dyDescent="0.2"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3:20" ht="12.75" customHeight="1" x14ac:dyDescent="0.2"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3:20" ht="12.75" customHeight="1" x14ac:dyDescent="0.2"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3:20" ht="12.75" customHeight="1" x14ac:dyDescent="0.2"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3:20" ht="12.75" customHeight="1" x14ac:dyDescent="0.2"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3:20" ht="12.75" customHeight="1" x14ac:dyDescent="0.2"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3:20" ht="12.75" customHeight="1" x14ac:dyDescent="0.2"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3:20" ht="12.75" customHeight="1" x14ac:dyDescent="0.2"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3:20" ht="12.75" customHeight="1" x14ac:dyDescent="0.2"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3:20" ht="12.75" customHeight="1" x14ac:dyDescent="0.2"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3:20" ht="12.75" customHeight="1" x14ac:dyDescent="0.2"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3:20" ht="12.75" customHeight="1" x14ac:dyDescent="0.2"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3:20" ht="12.75" customHeight="1" x14ac:dyDescent="0.2"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3:20" ht="12.75" customHeight="1" x14ac:dyDescent="0.2"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3:20" ht="12.75" customHeight="1" x14ac:dyDescent="0.2"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3:20" ht="12.75" customHeight="1" x14ac:dyDescent="0.2"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3:20" ht="12.75" customHeight="1" x14ac:dyDescent="0.2"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3:20" ht="12.75" customHeight="1" x14ac:dyDescent="0.2"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3:20" ht="12.75" customHeight="1" x14ac:dyDescent="0.2"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3:20" ht="12.75" customHeight="1" x14ac:dyDescent="0.2"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3:20" ht="12.75" customHeight="1" x14ac:dyDescent="0.2"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3:20" ht="12.75" customHeight="1" x14ac:dyDescent="0.2"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3:20" ht="12.75" customHeight="1" x14ac:dyDescent="0.2"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3:20" ht="12.75" customHeight="1" x14ac:dyDescent="0.2"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3:20" ht="12.75" customHeight="1" x14ac:dyDescent="0.2"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3:20" ht="12.75" customHeight="1" x14ac:dyDescent="0.2"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3:20" ht="12.75" customHeight="1" x14ac:dyDescent="0.2"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3:20" ht="12.75" customHeight="1" x14ac:dyDescent="0.2"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3:20" ht="12.75" customHeight="1" x14ac:dyDescent="0.2"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3:20" ht="12.75" customHeight="1" x14ac:dyDescent="0.2"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3:20" ht="12.75" customHeight="1" x14ac:dyDescent="0.2"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3:20" ht="12.75" customHeight="1" x14ac:dyDescent="0.2"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3:20" ht="12.75" customHeight="1" x14ac:dyDescent="0.2"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3:20" ht="12.75" customHeight="1" x14ac:dyDescent="0.2"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3:20" ht="12.75" customHeight="1" x14ac:dyDescent="0.2"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3:20" ht="12.75" customHeight="1" x14ac:dyDescent="0.2"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3:20" ht="12.75" customHeight="1" x14ac:dyDescent="0.2"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3:20" ht="12.75" customHeight="1" x14ac:dyDescent="0.2"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3:20" ht="12.75" customHeight="1" x14ac:dyDescent="0.2"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3:20" ht="12.75" customHeight="1" x14ac:dyDescent="0.2"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3:20" ht="12.75" customHeight="1" x14ac:dyDescent="0.2"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3:20" ht="12.75" customHeight="1" x14ac:dyDescent="0.2"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3:20" ht="12.75" customHeight="1" x14ac:dyDescent="0.2"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3:20" ht="12.75" customHeight="1" x14ac:dyDescent="0.2"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3:20" ht="12.75" customHeight="1" x14ac:dyDescent="0.2"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3:20" ht="12.75" customHeight="1" x14ac:dyDescent="0.2"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3:20" ht="12.75" customHeight="1" x14ac:dyDescent="0.2"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3:20" ht="12.75" customHeight="1" x14ac:dyDescent="0.2"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3:20" ht="12.75" customHeight="1" x14ac:dyDescent="0.2"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3:20" ht="12.75" customHeight="1" x14ac:dyDescent="0.2"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3:20" ht="12.75" customHeight="1" x14ac:dyDescent="0.2"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3:20" ht="12.75" customHeight="1" x14ac:dyDescent="0.2"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3:20" ht="12.75" customHeight="1" x14ac:dyDescent="0.2"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3:20" ht="12.75" customHeight="1" x14ac:dyDescent="0.2"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3:20" ht="12.75" customHeight="1" x14ac:dyDescent="0.2"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3:20" ht="12.75" customHeight="1" x14ac:dyDescent="0.2"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3:20" ht="12.75" customHeight="1" x14ac:dyDescent="0.2"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3:20" ht="12.75" customHeight="1" x14ac:dyDescent="0.2"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3:20" ht="12.75" customHeight="1" x14ac:dyDescent="0.2"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3:20" ht="12.75" customHeight="1" x14ac:dyDescent="0.2"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3:20" ht="12.75" customHeight="1" x14ac:dyDescent="0.2"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3:20" ht="12.75" customHeight="1" x14ac:dyDescent="0.2"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3:20" ht="12.75" customHeight="1" x14ac:dyDescent="0.2"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3:20" ht="12.75" customHeight="1" x14ac:dyDescent="0.2"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3:20" ht="12.75" customHeight="1" x14ac:dyDescent="0.2"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3:20" ht="12.75" customHeight="1" x14ac:dyDescent="0.2"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3:20" ht="12.75" customHeight="1" x14ac:dyDescent="0.2"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3:20" ht="12.75" customHeight="1" x14ac:dyDescent="0.2"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3:20" ht="12.75" customHeight="1" x14ac:dyDescent="0.2"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3:20" ht="12.75" customHeight="1" x14ac:dyDescent="0.2"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3:20" ht="12.75" customHeight="1" x14ac:dyDescent="0.2"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3:20" ht="12.75" customHeight="1" x14ac:dyDescent="0.2"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3:20" ht="12.75" customHeight="1" x14ac:dyDescent="0.2"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3:20" ht="12.75" customHeight="1" x14ac:dyDescent="0.2"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3:20" ht="12.75" customHeight="1" x14ac:dyDescent="0.2"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3:20" ht="12.75" customHeight="1" x14ac:dyDescent="0.2"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3:20" ht="12.75" customHeight="1" x14ac:dyDescent="0.2"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3:20" ht="12.75" customHeight="1" x14ac:dyDescent="0.2"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3:20" ht="12.75" customHeight="1" x14ac:dyDescent="0.2"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3:20" ht="12.75" customHeight="1" x14ac:dyDescent="0.2"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3:20" ht="12.75" customHeight="1" x14ac:dyDescent="0.2"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3:20" ht="12.75" customHeight="1" x14ac:dyDescent="0.2"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3:20" ht="12.75" customHeight="1" x14ac:dyDescent="0.2"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3:20" ht="12.75" customHeight="1" x14ac:dyDescent="0.2"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3:20" ht="12.75" customHeight="1" x14ac:dyDescent="0.2"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3:20" ht="12.75" customHeight="1" x14ac:dyDescent="0.2"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3:20" ht="12.75" customHeight="1" x14ac:dyDescent="0.2"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3:20" ht="12.75" customHeight="1" x14ac:dyDescent="0.2"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3:20" ht="12.75" customHeight="1" x14ac:dyDescent="0.2"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3:20" ht="12.75" customHeight="1" x14ac:dyDescent="0.2"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3:20" ht="12.75" customHeight="1" x14ac:dyDescent="0.2"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3:20" ht="12.75" customHeight="1" x14ac:dyDescent="0.2"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3:20" ht="12.75" customHeight="1" x14ac:dyDescent="0.2"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3:20" ht="12.75" customHeight="1" x14ac:dyDescent="0.2"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3:20" ht="12.75" customHeight="1" x14ac:dyDescent="0.2"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3:20" ht="12.75" customHeight="1" x14ac:dyDescent="0.2"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3:20" ht="12.75" customHeight="1" x14ac:dyDescent="0.2"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3:20" ht="12.75" customHeight="1" x14ac:dyDescent="0.2"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3:20" ht="12.75" customHeight="1" x14ac:dyDescent="0.2"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3:20" ht="12.75" customHeight="1" x14ac:dyDescent="0.2"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3:20" ht="12.75" customHeight="1" x14ac:dyDescent="0.2"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3:20" ht="12.75" customHeight="1" x14ac:dyDescent="0.2"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3:20" ht="12.75" customHeight="1" x14ac:dyDescent="0.2"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3:20" ht="12.75" customHeight="1" x14ac:dyDescent="0.2"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3:20" ht="12.75" customHeight="1" x14ac:dyDescent="0.2"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3:20" ht="12.75" customHeight="1" x14ac:dyDescent="0.2"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3:20" ht="12.75" customHeight="1" x14ac:dyDescent="0.2"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3:20" ht="12.75" customHeight="1" x14ac:dyDescent="0.2"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3:20" ht="12.75" customHeight="1" x14ac:dyDescent="0.2"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3:20" ht="12.75" customHeight="1" x14ac:dyDescent="0.2"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3:20" ht="12.75" customHeight="1" x14ac:dyDescent="0.2"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3:20" ht="12.75" customHeight="1" x14ac:dyDescent="0.2"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3:20" ht="12.75" customHeight="1" x14ac:dyDescent="0.2"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3:20" ht="12.75" customHeight="1" x14ac:dyDescent="0.2"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3:20" ht="12.75" customHeight="1" x14ac:dyDescent="0.2"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3:20" ht="12.75" customHeight="1" x14ac:dyDescent="0.2"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3:20" ht="12.75" customHeight="1" x14ac:dyDescent="0.2"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3:20" ht="12.75" customHeight="1" x14ac:dyDescent="0.2"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3:20" ht="12.75" customHeight="1" x14ac:dyDescent="0.2"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3:20" ht="12.75" customHeight="1" x14ac:dyDescent="0.2"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3:20" ht="12.75" customHeight="1" x14ac:dyDescent="0.2"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3:20" ht="12.75" customHeight="1" x14ac:dyDescent="0.2"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3:20" ht="12.75" customHeight="1" x14ac:dyDescent="0.2"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3:20" ht="12.75" customHeight="1" x14ac:dyDescent="0.2"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3:20" ht="12.75" customHeight="1" x14ac:dyDescent="0.2"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3:20" ht="12.75" customHeight="1" x14ac:dyDescent="0.2"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3:20" ht="12.75" customHeight="1" x14ac:dyDescent="0.2"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3:20" ht="12.75" customHeight="1" x14ac:dyDescent="0.2"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3:20" ht="12.75" customHeight="1" x14ac:dyDescent="0.2"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3:20" ht="12.75" customHeight="1" x14ac:dyDescent="0.2"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3:20" ht="12.75" customHeight="1" x14ac:dyDescent="0.2"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3:20" ht="12.75" customHeight="1" x14ac:dyDescent="0.2"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3:20" ht="12.75" customHeight="1" x14ac:dyDescent="0.2"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3:20" ht="12.75" customHeight="1" x14ac:dyDescent="0.2"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3:20" ht="12.75" customHeight="1" x14ac:dyDescent="0.2"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3:20" ht="12.75" customHeight="1" x14ac:dyDescent="0.2"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3:20" ht="12.75" customHeight="1" x14ac:dyDescent="0.2"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3:20" ht="12.75" customHeight="1" x14ac:dyDescent="0.2"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3:20" ht="12.75" customHeight="1" x14ac:dyDescent="0.2"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3:20" ht="12.75" customHeight="1" x14ac:dyDescent="0.2"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3:20" ht="12.75" customHeight="1" x14ac:dyDescent="0.2"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3:20" ht="12.75" customHeight="1" x14ac:dyDescent="0.2"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3:20" ht="12.75" customHeight="1" x14ac:dyDescent="0.2"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3:20" ht="12.75" customHeight="1" x14ac:dyDescent="0.2"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3:20" ht="12.75" customHeight="1" x14ac:dyDescent="0.2"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3:20" ht="12.75" customHeight="1" x14ac:dyDescent="0.2"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3:20" ht="12.75" customHeight="1" x14ac:dyDescent="0.2"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3:20" ht="12.75" customHeight="1" x14ac:dyDescent="0.2"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3:20" ht="12.75" customHeight="1" x14ac:dyDescent="0.2"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3:20" ht="12.75" customHeight="1" x14ac:dyDescent="0.2"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3:20" ht="12.75" customHeight="1" x14ac:dyDescent="0.2"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3:20" ht="12.75" customHeight="1" x14ac:dyDescent="0.2"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3:20" ht="12.75" customHeight="1" x14ac:dyDescent="0.2"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3:20" ht="12.75" customHeight="1" x14ac:dyDescent="0.2"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3:20" ht="12.75" customHeight="1" x14ac:dyDescent="0.2"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3:20" ht="12.75" customHeight="1" x14ac:dyDescent="0.2"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3:20" ht="12.75" customHeight="1" x14ac:dyDescent="0.2"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3:20" ht="12.75" customHeight="1" x14ac:dyDescent="0.2"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3:20" ht="12.75" customHeight="1" x14ac:dyDescent="0.2"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3:20" ht="12.75" customHeight="1" x14ac:dyDescent="0.2"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3:20" ht="12.75" customHeight="1" x14ac:dyDescent="0.2"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3:20" ht="12.75" customHeight="1" x14ac:dyDescent="0.2"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3:20" ht="12.75" customHeight="1" x14ac:dyDescent="0.2"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3:20" ht="12.75" customHeight="1" x14ac:dyDescent="0.2"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3:20" ht="12.75" customHeight="1" x14ac:dyDescent="0.2"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3:20" ht="12.75" customHeight="1" x14ac:dyDescent="0.2"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3:20" ht="12.75" customHeight="1" x14ac:dyDescent="0.2"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3:20" ht="12.75" customHeight="1" x14ac:dyDescent="0.2"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3:20" ht="12.75" customHeight="1" x14ac:dyDescent="0.2"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3:20" ht="12.75" customHeight="1" x14ac:dyDescent="0.2"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3:20" ht="12.75" customHeight="1" x14ac:dyDescent="0.2"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3:20" ht="12.75" customHeight="1" x14ac:dyDescent="0.2"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3:20" ht="12.75" customHeight="1" x14ac:dyDescent="0.2"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3:20" ht="12.75" customHeight="1" x14ac:dyDescent="0.2"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3:20" ht="12.75" customHeight="1" x14ac:dyDescent="0.2"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3:20" ht="12.75" customHeight="1" x14ac:dyDescent="0.2"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3:20" ht="12.75" customHeight="1" x14ac:dyDescent="0.2"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3:20" ht="12.75" customHeight="1" x14ac:dyDescent="0.2"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3:20" ht="12.75" customHeight="1" x14ac:dyDescent="0.2"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3:20" ht="12.75" customHeight="1" x14ac:dyDescent="0.2"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spans="3:20" ht="12.75" customHeight="1" x14ac:dyDescent="0.2"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spans="3:20" ht="12.75" customHeight="1" x14ac:dyDescent="0.2"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spans="3:20" ht="12.75" customHeight="1" x14ac:dyDescent="0.2"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spans="3:20" ht="12.75" customHeight="1" x14ac:dyDescent="0.2"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spans="3:20" ht="12.75" customHeight="1" x14ac:dyDescent="0.2"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spans="3:20" ht="12.75" customHeight="1" x14ac:dyDescent="0.2"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spans="3:20" ht="12.75" customHeight="1" x14ac:dyDescent="0.2"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Order Confirmation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Blooms</dc:creator>
  <cp:lastModifiedBy>Václav Senický</cp:lastModifiedBy>
  <dcterms:created xsi:type="dcterms:W3CDTF">2026-02-23T17:23:38Z</dcterms:created>
  <dcterms:modified xsi:type="dcterms:W3CDTF">2026-03-09T15:23:19Z</dcterms:modified>
</cp:coreProperties>
</file>